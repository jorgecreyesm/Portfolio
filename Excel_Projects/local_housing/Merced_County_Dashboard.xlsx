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reyeso/Documents/GitHub/Portfolio/Excel_Projects/local_housing/"/>
    </mc:Choice>
  </mc:AlternateContent>
  <xr:revisionPtr revIDLastSave="0" documentId="13_ncr:1_{0734B704-1A3F-C340-8914-7D97E5FC33D4}" xr6:coauthVersionLast="47" xr6:coauthVersionMax="47" xr10:uidLastSave="{00000000-0000-0000-0000-000000000000}"/>
  <bookViews>
    <workbookView xWindow="880" yWindow="1420" windowWidth="39280" windowHeight="23680" activeTab="4" xr2:uid="{4DB62E54-7FC9-9748-85F2-5C80AE41DFC1}"/>
  </bookViews>
  <sheets>
    <sheet name="Clean_data" sheetId="9" r:id="rId1"/>
    <sheet name="Pivot_Analysis" sheetId="3" r:id="rId2"/>
    <sheet name="Detail1" sheetId="18" r:id="rId3"/>
    <sheet name="Dashboard" sheetId="7" r:id="rId4"/>
    <sheet name="Methodology" sheetId="8" r:id="rId5"/>
  </sheets>
  <definedNames>
    <definedName name="ExternalData_1" localSheetId="0" hidden="1">Clean_data!$A$1:$S$191</definedName>
  </definedNames>
  <calcPr calcId="191029"/>
  <pivotCaches>
    <pivotCache cacheId="4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7" l="1"/>
  <c r="J6" i="7"/>
  <c r="G6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EE170D-E8FA-C04C-8BB6-45C75E8DD393}" keepAlive="1" name="Query - merced_clean" description="Connection to the 'merced_clean' query in the workbook." type="5" refreshedVersion="8" background="1" saveData="1">
    <dbPr connection="Provider=Microsoft.Mashup.OleDb.1;Data Source=$Workbook$;Location=merced_clean;Extended Properties=&quot;&quot;" command="SELECT * FROM [merced_clean]"/>
  </connection>
  <connection id="2" xr16:uid="{7EFB0941-3299-DC47-9476-72CA445A4127}" keepAlive="1" name="Query - merced_clean (2)" description="Connection to the 'merced_clean (2)' query in the workbook." type="5" refreshedVersion="8" background="1" saveData="1">
    <dbPr connection="Provider=Microsoft.Mashup.OleDb.1;Data Source=$Workbook$;Location=&quot;merced_clean (2)&quot;;Extended Properties=&quot;&quot;" command="SELECT * FROM [merced_clean (2)]"/>
  </connection>
  <connection id="3" xr16:uid="{B92CF576-0DA1-5645-856D-21D1507C474F}" keepAlive="1" name="Query - redfin_active_clean" description="Connection to the 'redfin_active_clean' query in the workbook." type="5" refreshedVersion="8" background="1" saveData="1">
    <dbPr connection="Provider=Microsoft.Mashup.OleDb.1;Data Source=$Workbook$;Location=redfin_active_clean;Extended Properties=&quot;&quot;" command="SELECT * FROM [redfin_active_clean]"/>
  </connection>
  <connection id="4" xr16:uid="{E3338949-C53E-2044-80D2-95432347A40D}" keepAlive="1" name="Query - redfin_active_clean (2)" description="Connection to the 'redfin_active_clean (2)' query in the workbook." type="5" refreshedVersion="8" background="1" saveData="1">
    <dbPr connection="Provider=Microsoft.Mashup.OleDb.1;Data Source=$Workbook$;Location=&quot;redfin_active_clean (2)&quot;;Extended Properties=&quot;&quot;" command="SELECT * FROM [redfin_active_clean (2)]"/>
  </connection>
  <connection id="5" xr16:uid="{46299351-4031-EC4E-9D4A-98F8BAB07D3B}" keepAlive="1" name="Query - redfin_housing_market_monthly_all_cities_key_metrics_2023_Jan_to_2026_Apr" description="Connection to the 'redfin_housing_market_monthly_all_cities_key_metrics_2023_Jan_to_2026_Apr' query in the workbook." type="5" refreshedVersion="0" background="1" saveData="1">
    <dbPr connection="Provider=Microsoft.Mashup.OleDb.1;Data Source=$Workbook$;Location=redfin_housing_market_monthly_all_cities_key_metrics_2023_Jan_to_2026_Apr;Extended Properties=&quot;&quot;" command="SELECT * FROM [redfin_housing_market_monthly_all_cities_key_metrics_2023_Jan_to_2026_Apr]"/>
  </connection>
</connections>
</file>

<file path=xl/sharedStrings.xml><?xml version="1.0" encoding="utf-8"?>
<sst xmlns="http://schemas.openxmlformats.org/spreadsheetml/2006/main" count="973" uniqueCount="70">
  <si>
    <t>Merced</t>
  </si>
  <si>
    <t>Los Banos</t>
  </si>
  <si>
    <t>Atwater</t>
  </si>
  <si>
    <t>Livingston</t>
  </si>
  <si>
    <t>Hilmar</t>
  </si>
  <si>
    <t>Rolling 3 Months</t>
  </si>
  <si>
    <t>City</t>
  </si>
  <si>
    <t>Year</t>
  </si>
  <si>
    <t>Month</t>
  </si>
  <si>
    <t>Quarter</t>
  </si>
  <si>
    <t>Period_Begin</t>
  </si>
  <si>
    <t>Period_End</t>
  </si>
  <si>
    <t>Frequency</t>
  </si>
  <si>
    <t>Homes_Sold</t>
  </si>
  <si>
    <t>Homes_Sold_YOY_Pct</t>
  </si>
  <si>
    <t>Median_Sale_Price</t>
  </si>
  <si>
    <t>Median_Sale_Price_YOY_Pct</t>
  </si>
  <si>
    <t>Median_Days_On_Market</t>
  </si>
  <si>
    <t>Median_Days_On_Market_YOY_Pct</t>
  </si>
  <si>
    <t>New_Listings</t>
  </si>
  <si>
    <t>New_Listings_YOY_Pct</t>
  </si>
  <si>
    <t>Active_Listings</t>
  </si>
  <si>
    <t>Active_Listings_YOY_Pct</t>
  </si>
  <si>
    <t>Pending_Sales</t>
  </si>
  <si>
    <t>Pending_Sales_YOY_Pct</t>
  </si>
  <si>
    <t>2024</t>
  </si>
  <si>
    <t>2023</t>
  </si>
  <si>
    <t>2025</t>
  </si>
  <si>
    <t>2026</t>
  </si>
  <si>
    <t>Row Labels</t>
  </si>
  <si>
    <t>Grand Total</t>
  </si>
  <si>
    <t>Column Labels</t>
  </si>
  <si>
    <t>Average of Median_Sale_Price</t>
  </si>
  <si>
    <t>Qtr1</t>
  </si>
  <si>
    <t>Qtr2</t>
  </si>
  <si>
    <t>Qtr3</t>
  </si>
  <si>
    <t>Qtr4</t>
  </si>
  <si>
    <t>Average of Median_Days_On_Market</t>
  </si>
  <si>
    <t>Sum of Homes_Sold</t>
  </si>
  <si>
    <t>Average of Median_Sale_Price_YOY_Pct</t>
  </si>
  <si>
    <t>Average of Active_Listings</t>
  </si>
  <si>
    <t>Merced County Housing Market</t>
  </si>
  <si>
    <t>2023 -2026 Analysis</t>
  </si>
  <si>
    <t>Median Sales Price</t>
  </si>
  <si>
    <t>Avg Days on Market</t>
  </si>
  <si>
    <t>Homes Sold</t>
  </si>
  <si>
    <t>Days On Market</t>
  </si>
  <si>
    <t>Median Sales Price YoY</t>
  </si>
  <si>
    <t>Active Listings</t>
  </si>
  <si>
    <r>
      <t>MERCED COUNTY HOUSING MARKET ANALYSIS</t>
    </r>
    <r>
      <rPr>
        <sz val="12"/>
        <color theme="1"/>
        <rFont val="Aptos Narrow"/>
        <family val="2"/>
        <scheme val="minor"/>
      </rPr>
      <t xml:space="preserve"> </t>
    </r>
    <r>
      <rPr>
        <i/>
        <sz val="12"/>
        <color theme="1"/>
        <rFont val="Aptos Narrow"/>
        <family val="2"/>
        <scheme val="minor"/>
      </rPr>
      <t>2023 – 2026 | Excel Dashboard</t>
    </r>
  </si>
  <si>
    <t>DATA SOURCE</t>
  </si>
  <si>
    <t>Redfin Data Center — City-level residential real estate metrics, rolling 3-month periods. Downloaded May 2026 from redfin.com/news/data-center. Cities analyzed: Atwater, Hilmar, Livingston, Los Banos, and Merced — all within Merced County, California.</t>
  </si>
  <si>
    <t>METHODOLOGY</t>
  </si>
  <si>
    <t>Data was filtered to city-level geographic scope and cleaned using Python prior to Excel import. All metrics represent rolling 3-month period averages ending on the Period_End date shown. Median Sale Price reflects closed transaction prices. Days on Market measures time from listing to pending sale. YOY percentage changes compare equivalent periods one year prior.</t>
  </si>
  <si>
    <t>KEY FINDINGS</t>
  </si>
  <si>
    <r>
      <t>Market cooling is underway across all cities.</t>
    </r>
    <r>
      <rPr>
        <sz val="12"/>
        <color theme="1"/>
        <rFont val="Aptos Narrow"/>
        <family val="2"/>
        <scheme val="minor"/>
      </rPr>
      <t xml:space="preserve"> Average days on market increased from 26 days in 2023 to 49 days in 2026 Q1 — an 88% increase — signaling a significant shift from seller to buyer market conditions.</t>
    </r>
  </si>
  <si>
    <r>
      <t>Price growth has reversed in 2026.</t>
    </r>
    <r>
      <rPr>
        <sz val="12"/>
        <color theme="1"/>
        <rFont val="Aptos Narrow"/>
        <family val="2"/>
        <scheme val="minor"/>
      </rPr>
      <t xml:space="preserve"> After sustained appreciation through 2023–2025, four of five cities posted negative year-over-year price changes in 2026. Hilmar (-9.1%) and Los Banos (-6.7%) experienced the sharpest corrections.</t>
    </r>
  </si>
  <si>
    <r>
      <t>Transaction volume is declining.</t>
    </r>
    <r>
      <rPr>
        <sz val="12"/>
        <color theme="1"/>
        <rFont val="Aptos Narrow"/>
        <family val="2"/>
        <scheme val="minor"/>
      </rPr>
      <t xml:space="preserve"> Total homes sold dropped from 4,308 in 2024 to a projected pace well below that in 2026, with Q1 2026 showing only 761 transactions compared to 1,074 in Q1 2024.</t>
    </r>
  </si>
  <si>
    <r>
      <t>Atwater shows the most market resilience.</t>
    </r>
    <r>
      <rPr>
        <sz val="12"/>
        <color theme="1"/>
        <rFont val="Aptos Narrow"/>
        <family val="2"/>
        <scheme val="minor"/>
      </rPr>
      <t xml:space="preserve"> With the lowest average days on market (27) and the smallest price decline in 2026 (+1.5% YOY), Atwater represents the most stable submarket in the county.</t>
    </r>
  </si>
  <si>
    <r>
      <t>Merced dominates transaction volume</t>
    </r>
    <r>
      <rPr>
        <sz val="12"/>
        <color theme="1"/>
        <rFont val="Aptos Narrow"/>
        <family val="2"/>
        <scheme val="minor"/>
      </rPr>
      <t xml:space="preserve"> accounting for 54% of all homes sold in the dataset, reflecting its position as the county seat and largest population center.</t>
    </r>
  </si>
  <si>
    <t>LIMITATIONS</t>
  </si>
  <si>
    <t>Rolling 3-month periods smooth short-term volatility but may lag rapid market shifts</t>
  </si>
  <si>
    <t>2026 data covers Q1 only and should not be extrapolated to full-year performance</t>
  </si>
  <si>
    <t>Small market sizes in Hilmar and Livingston (fewer than 400 total transactions) reduce statistical reliability</t>
  </si>
  <si>
    <t>Analysis does not account for macroeconomic factors including interest rate changes, employment trends, or migration patterns</t>
  </si>
  <si>
    <t>TOOLS USED</t>
  </si>
  <si>
    <t>Python (Pandas) — data cleaning and reshaping Microsoft Excel — pivot tables, conditional formatting, dashboard design</t>
  </si>
  <si>
    <t>AUTHOR</t>
  </si>
  <si>
    <t>Jorge Reyes-Ornelas M.S. Data Analytics, Eastern University (Expected June 2026) github.com/jorgecreyesm/Portfolio</t>
  </si>
  <si>
    <t>Details for Active Listings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</si>
</sst>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$&quot;#,##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rial Unicode MS"/>
      <family val="2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  <xf numFmtId="0" fontId="0" fillId="0" borderId="0" xfId="0" applyAlignment="1">
      <alignment horizontal="left" indent="1"/>
    </xf>
    <xf numFmtId="2" fontId="0" fillId="0" borderId="0" xfId="0" applyNumberFormat="1"/>
    <xf numFmtId="1" fontId="0" fillId="0" borderId="0" xfId="0" applyNumberFormat="1"/>
    <xf numFmtId="0" fontId="2" fillId="0" borderId="0" xfId="0" applyFont="1"/>
    <xf numFmtId="0" fontId="0" fillId="0" borderId="1" xfId="0" applyBorder="1"/>
    <xf numFmtId="0" fontId="2" fillId="0" borderId="3" xfId="0" applyFont="1" applyBorder="1" applyAlignment="1">
      <alignment horizontal="center"/>
    </xf>
    <xf numFmtId="0" fontId="0" fillId="0" borderId="5" xfId="0" applyBorder="1"/>
    <xf numFmtId="169" fontId="0" fillId="0" borderId="6" xfId="0" applyNumberFormat="1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1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2" fontId="0" fillId="0" borderId="1" xfId="0" applyNumberFormat="1" applyBorder="1"/>
    <xf numFmtId="0" fontId="0" fillId="0" borderId="6" xfId="0" applyBorder="1"/>
    <xf numFmtId="1" fontId="0" fillId="0" borderId="6" xfId="0" applyNumberFormat="1" applyBorder="1" applyAlignment="1">
      <alignment horizontal="center"/>
    </xf>
    <xf numFmtId="0" fontId="1" fillId="0" borderId="0" xfId="0" applyFont="1"/>
    <xf numFmtId="0" fontId="0" fillId="0" borderId="2" xfId="0" applyBorder="1"/>
    <xf numFmtId="0" fontId="2" fillId="0" borderId="3" xfId="0" applyFont="1" applyBorder="1"/>
    <xf numFmtId="0" fontId="0" fillId="0" borderId="6" xfId="0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 vertical="top"/>
    </xf>
    <xf numFmtId="0" fontId="0" fillId="0" borderId="7" xfId="0" applyBorder="1"/>
  </cellXfs>
  <cellStyles count="1">
    <cellStyle name="Normal" xfId="0" builtinId="0"/>
  </cellStyles>
  <dxfs count="2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"/>
    </dxf>
    <dxf>
      <numFmt numFmtId="19" formatCode="m/d/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19" formatCode="m/d/yy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60637262999467"/>
          <c:y val="0.14592847099795758"/>
          <c:w val="0.81216948405924783"/>
          <c:h val="0.72762092668804912"/>
        </c:manualLayout>
      </c:layout>
      <c:lineChart>
        <c:grouping val="standard"/>
        <c:varyColors val="0"/>
        <c:ser>
          <c:idx val="0"/>
          <c:order val="0"/>
          <c:tx>
            <c:v>Atwater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3"/>
              <c:pt idx="0">
                <c:v>2023 Qtr1</c:v>
              </c:pt>
              <c:pt idx="1">
                <c:v>2023 Qtr2</c:v>
              </c:pt>
              <c:pt idx="2">
                <c:v>2023 Qtr3</c:v>
              </c:pt>
              <c:pt idx="3">
                <c:v>2023 Qtr4</c:v>
              </c:pt>
              <c:pt idx="4">
                <c:v>2024 Qtr1</c:v>
              </c:pt>
              <c:pt idx="5">
                <c:v>2024 Qtr2</c:v>
              </c:pt>
              <c:pt idx="6">
                <c:v>2024 Qtr3</c:v>
              </c:pt>
              <c:pt idx="7">
                <c:v>2024 Qtr4</c:v>
              </c:pt>
              <c:pt idx="8">
                <c:v>2025 Qtr1</c:v>
              </c:pt>
              <c:pt idx="9">
                <c:v>2025 Qtr2</c:v>
              </c:pt>
              <c:pt idx="10">
                <c:v>2025 Qtr3</c:v>
              </c:pt>
              <c:pt idx="11">
                <c:v>2025 Qtr4</c:v>
              </c:pt>
              <c:pt idx="12">
                <c:v>2026 Qtr1</c:v>
              </c:pt>
            </c:strLit>
          </c:cat>
          <c:val>
            <c:numLit>
              <c:formatCode>General</c:formatCode>
              <c:ptCount val="13"/>
              <c:pt idx="0">
                <c:v>365000</c:v>
              </c:pt>
              <c:pt idx="1">
                <c:v>392666.66666666669</c:v>
              </c:pt>
              <c:pt idx="2">
                <c:v>380833.33333333331</c:v>
              </c:pt>
              <c:pt idx="3">
                <c:v>376083.33333333331</c:v>
              </c:pt>
              <c:pt idx="4">
                <c:v>382000</c:v>
              </c:pt>
              <c:pt idx="5">
                <c:v>416333.33333333331</c:v>
              </c:pt>
              <c:pt idx="6">
                <c:v>405833.33333333331</c:v>
              </c:pt>
              <c:pt idx="7">
                <c:v>399166.66666666669</c:v>
              </c:pt>
              <c:pt idx="8">
                <c:v>414250</c:v>
              </c:pt>
              <c:pt idx="9">
                <c:v>445833.33333333331</c:v>
              </c:pt>
              <c:pt idx="10">
                <c:v>421500</c:v>
              </c:pt>
              <c:pt idx="11">
                <c:v>414166.66666666669</c:v>
              </c:pt>
              <c:pt idx="12">
                <c:v>414893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046-7848-BFB5-DED74E619F20}"/>
            </c:ext>
          </c:extLst>
        </c:ser>
        <c:ser>
          <c:idx val="1"/>
          <c:order val="1"/>
          <c:tx>
            <c:v>Hilmar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3"/>
              <c:pt idx="0">
                <c:v>2023 Qtr1</c:v>
              </c:pt>
              <c:pt idx="1">
                <c:v>2023 Qtr2</c:v>
              </c:pt>
              <c:pt idx="2">
                <c:v>2023 Qtr3</c:v>
              </c:pt>
              <c:pt idx="3">
                <c:v>2023 Qtr4</c:v>
              </c:pt>
              <c:pt idx="4">
                <c:v>2024 Qtr1</c:v>
              </c:pt>
              <c:pt idx="5">
                <c:v>2024 Qtr2</c:v>
              </c:pt>
              <c:pt idx="6">
                <c:v>2024 Qtr3</c:v>
              </c:pt>
              <c:pt idx="7">
                <c:v>2024 Qtr4</c:v>
              </c:pt>
              <c:pt idx="8">
                <c:v>2025 Qtr1</c:v>
              </c:pt>
              <c:pt idx="9">
                <c:v>2025 Qtr2</c:v>
              </c:pt>
              <c:pt idx="10">
                <c:v>2025 Qtr3</c:v>
              </c:pt>
              <c:pt idx="11">
                <c:v>2025 Qtr4</c:v>
              </c:pt>
              <c:pt idx="12">
                <c:v>2026 Qtr1</c:v>
              </c:pt>
            </c:strLit>
          </c:cat>
          <c:val>
            <c:numLit>
              <c:formatCode>General</c:formatCode>
              <c:ptCount val="13"/>
              <c:pt idx="0">
                <c:v>496666.66666666669</c:v>
              </c:pt>
              <c:pt idx="1">
                <c:v>470000</c:v>
              </c:pt>
              <c:pt idx="2">
                <c:v>450583.33333333331</c:v>
              </c:pt>
              <c:pt idx="3">
                <c:v>469551</c:v>
              </c:pt>
              <c:pt idx="4">
                <c:v>599166.66666666663</c:v>
              </c:pt>
              <c:pt idx="5">
                <c:v>592133.33333333337</c:v>
              </c:pt>
              <c:pt idx="6">
                <c:v>476583.33333333331</c:v>
              </c:pt>
              <c:pt idx="7">
                <c:v>494083.33333333331</c:v>
              </c:pt>
              <c:pt idx="8">
                <c:v>553333.33333333337</c:v>
              </c:pt>
              <c:pt idx="9">
                <c:v>547720</c:v>
              </c:pt>
              <c:pt idx="10">
                <c:v>512833.33333333331</c:v>
              </c:pt>
              <c:pt idx="11">
                <c:v>442000</c:v>
              </c:pt>
              <c:pt idx="12">
                <c:v>509863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5046-7848-BFB5-DED74E619F20}"/>
            </c:ext>
          </c:extLst>
        </c:ser>
        <c:ser>
          <c:idx val="2"/>
          <c:order val="2"/>
          <c:tx>
            <c:v>Livingston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3"/>
              <c:pt idx="0">
                <c:v>2023 Qtr1</c:v>
              </c:pt>
              <c:pt idx="1">
                <c:v>2023 Qtr2</c:v>
              </c:pt>
              <c:pt idx="2">
                <c:v>2023 Qtr3</c:v>
              </c:pt>
              <c:pt idx="3">
                <c:v>2023 Qtr4</c:v>
              </c:pt>
              <c:pt idx="4">
                <c:v>2024 Qtr1</c:v>
              </c:pt>
              <c:pt idx="5">
                <c:v>2024 Qtr2</c:v>
              </c:pt>
              <c:pt idx="6">
                <c:v>2024 Qtr3</c:v>
              </c:pt>
              <c:pt idx="7">
                <c:v>2024 Qtr4</c:v>
              </c:pt>
              <c:pt idx="8">
                <c:v>2025 Qtr1</c:v>
              </c:pt>
              <c:pt idx="9">
                <c:v>2025 Qtr2</c:v>
              </c:pt>
              <c:pt idx="10">
                <c:v>2025 Qtr3</c:v>
              </c:pt>
              <c:pt idx="11">
                <c:v>2025 Qtr4</c:v>
              </c:pt>
              <c:pt idx="12">
                <c:v>2026 Qtr1</c:v>
              </c:pt>
            </c:strLit>
          </c:cat>
          <c:val>
            <c:numLit>
              <c:formatCode>General</c:formatCode>
              <c:ptCount val="13"/>
              <c:pt idx="0">
                <c:v>363000</c:v>
              </c:pt>
              <c:pt idx="1">
                <c:v>427833.33333333331</c:v>
              </c:pt>
              <c:pt idx="2">
                <c:v>422500</c:v>
              </c:pt>
              <c:pt idx="3">
                <c:v>476000</c:v>
              </c:pt>
              <c:pt idx="4">
                <c:v>429166.66666666669</c:v>
              </c:pt>
              <c:pt idx="5">
                <c:v>407500</c:v>
              </c:pt>
              <c:pt idx="6">
                <c:v>393333.33333333331</c:v>
              </c:pt>
              <c:pt idx="7">
                <c:v>428333.33333333331</c:v>
              </c:pt>
              <c:pt idx="8">
                <c:v>424000</c:v>
              </c:pt>
              <c:pt idx="9">
                <c:v>441666.66666666669</c:v>
              </c:pt>
              <c:pt idx="10">
                <c:v>428833.33333333331</c:v>
              </c:pt>
              <c:pt idx="11">
                <c:v>440833.33333333331</c:v>
              </c:pt>
              <c:pt idx="12">
                <c:v>421147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5046-7848-BFB5-DED74E619F20}"/>
            </c:ext>
          </c:extLst>
        </c:ser>
        <c:ser>
          <c:idx val="3"/>
          <c:order val="3"/>
          <c:tx>
            <c:v>Los Banos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13"/>
              <c:pt idx="0">
                <c:v>2023 Qtr1</c:v>
              </c:pt>
              <c:pt idx="1">
                <c:v>2023 Qtr2</c:v>
              </c:pt>
              <c:pt idx="2">
                <c:v>2023 Qtr3</c:v>
              </c:pt>
              <c:pt idx="3">
                <c:v>2023 Qtr4</c:v>
              </c:pt>
              <c:pt idx="4">
                <c:v>2024 Qtr1</c:v>
              </c:pt>
              <c:pt idx="5">
                <c:v>2024 Qtr2</c:v>
              </c:pt>
              <c:pt idx="6">
                <c:v>2024 Qtr3</c:v>
              </c:pt>
              <c:pt idx="7">
                <c:v>2024 Qtr4</c:v>
              </c:pt>
              <c:pt idx="8">
                <c:v>2025 Qtr1</c:v>
              </c:pt>
              <c:pt idx="9">
                <c:v>2025 Qtr2</c:v>
              </c:pt>
              <c:pt idx="10">
                <c:v>2025 Qtr3</c:v>
              </c:pt>
              <c:pt idx="11">
                <c:v>2025 Qtr4</c:v>
              </c:pt>
              <c:pt idx="12">
                <c:v>2026 Qtr1</c:v>
              </c:pt>
            </c:strLit>
          </c:cat>
          <c:val>
            <c:numLit>
              <c:formatCode>General</c:formatCode>
              <c:ptCount val="13"/>
              <c:pt idx="0">
                <c:v>455416.66666666669</c:v>
              </c:pt>
              <c:pt idx="1">
                <c:v>455583.33333333331</c:v>
              </c:pt>
              <c:pt idx="2">
                <c:v>481163.33333333331</c:v>
              </c:pt>
              <c:pt idx="3">
                <c:v>493333.33333333331</c:v>
              </c:pt>
              <c:pt idx="4">
                <c:v>477500</c:v>
              </c:pt>
              <c:pt idx="5">
                <c:v>466828.33333333331</c:v>
              </c:pt>
              <c:pt idx="6">
                <c:v>468996.66666666669</c:v>
              </c:pt>
              <c:pt idx="7">
                <c:v>486172</c:v>
              </c:pt>
              <c:pt idx="8">
                <c:v>473733.33333333331</c:v>
              </c:pt>
              <c:pt idx="9">
                <c:v>477833.33333333331</c:v>
              </c:pt>
              <c:pt idx="10">
                <c:v>480415</c:v>
              </c:pt>
              <c:pt idx="11">
                <c:v>469290</c:v>
              </c:pt>
              <c:pt idx="12">
                <c:v>440570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5046-7848-BFB5-DED74E619F20}"/>
            </c:ext>
          </c:extLst>
        </c:ser>
        <c:ser>
          <c:idx val="4"/>
          <c:order val="4"/>
          <c:tx>
            <c:v>Merced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13"/>
              <c:pt idx="0">
                <c:v>2023 Qtr1</c:v>
              </c:pt>
              <c:pt idx="1">
                <c:v>2023 Qtr2</c:v>
              </c:pt>
              <c:pt idx="2">
                <c:v>2023 Qtr3</c:v>
              </c:pt>
              <c:pt idx="3">
                <c:v>2023 Qtr4</c:v>
              </c:pt>
              <c:pt idx="4">
                <c:v>2024 Qtr1</c:v>
              </c:pt>
              <c:pt idx="5">
                <c:v>2024 Qtr2</c:v>
              </c:pt>
              <c:pt idx="6">
                <c:v>2024 Qtr3</c:v>
              </c:pt>
              <c:pt idx="7">
                <c:v>2024 Qtr4</c:v>
              </c:pt>
              <c:pt idx="8">
                <c:v>2025 Qtr1</c:v>
              </c:pt>
              <c:pt idx="9">
                <c:v>2025 Qtr2</c:v>
              </c:pt>
              <c:pt idx="10">
                <c:v>2025 Qtr3</c:v>
              </c:pt>
              <c:pt idx="11">
                <c:v>2025 Qtr4</c:v>
              </c:pt>
              <c:pt idx="12">
                <c:v>2026 Qtr1</c:v>
              </c:pt>
            </c:strLit>
          </c:cat>
          <c:val>
            <c:numLit>
              <c:formatCode>General</c:formatCode>
              <c:ptCount val="13"/>
              <c:pt idx="0">
                <c:v>383831.66666666669</c:v>
              </c:pt>
              <c:pt idx="1">
                <c:v>388772.66666666669</c:v>
              </c:pt>
              <c:pt idx="2">
                <c:v>401330</c:v>
              </c:pt>
              <c:pt idx="3">
                <c:v>395330</c:v>
              </c:pt>
              <c:pt idx="4">
                <c:v>395416.66666666669</c:v>
              </c:pt>
              <c:pt idx="5">
                <c:v>406893.33333333331</c:v>
              </c:pt>
              <c:pt idx="6">
                <c:v>405250</c:v>
              </c:pt>
              <c:pt idx="7">
                <c:v>414166.66666666669</c:v>
              </c:pt>
              <c:pt idx="8">
                <c:v>405780</c:v>
              </c:pt>
              <c:pt idx="9">
                <c:v>415000</c:v>
              </c:pt>
              <c:pt idx="10">
                <c:v>413330</c:v>
              </c:pt>
              <c:pt idx="11">
                <c:v>402133.66666666669</c:v>
              </c:pt>
              <c:pt idx="12">
                <c:v>399017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5046-7848-BFB5-DED74E619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1249407"/>
        <c:axId val="1761044591"/>
      </c:lineChart>
      <c:catAx>
        <c:axId val="176124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044591"/>
        <c:crosses val="autoZero"/>
        <c:auto val="1"/>
        <c:lblAlgn val="ctr"/>
        <c:lblOffset val="100"/>
        <c:noMultiLvlLbl val="0"/>
      </c:catAx>
      <c:valAx>
        <c:axId val="176104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24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016500559807644"/>
          <c:y val="0.52597506324224308"/>
          <c:w val="0.20811317291632256"/>
          <c:h val="0.331905038048611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[Merced_County_Dashboard.xlsx]Pivot_Analysis!PivotTable18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100078557465705E-2"/>
          <c:y val="0.11244979919678715"/>
          <c:w val="0.76879131117891009"/>
          <c:h val="0.727965721152325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Pivot_Analysis!$J$1:$J$2</c:f>
              <c:strCache>
                <c:ptCount val="1"/>
                <c:pt idx="0">
                  <c:v>Atwater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Pivot_Analysis!$I$3:$I$20</c:f>
              <c:multiLvlStrCache>
                <c:ptCount val="13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8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Pivot_Analysis!$J$3:$J$20</c:f>
              <c:numCache>
                <c:formatCode>0</c:formatCode>
                <c:ptCount val="13"/>
                <c:pt idx="0">
                  <c:v>143</c:v>
                </c:pt>
                <c:pt idx="1">
                  <c:v>169</c:v>
                </c:pt>
                <c:pt idx="2">
                  <c:v>152</c:v>
                </c:pt>
                <c:pt idx="3">
                  <c:v>108</c:v>
                </c:pt>
                <c:pt idx="4">
                  <c:v>170</c:v>
                </c:pt>
                <c:pt idx="5">
                  <c:v>191</c:v>
                </c:pt>
                <c:pt idx="6">
                  <c:v>165</c:v>
                </c:pt>
                <c:pt idx="7">
                  <c:v>153</c:v>
                </c:pt>
                <c:pt idx="8">
                  <c:v>167</c:v>
                </c:pt>
                <c:pt idx="9">
                  <c:v>156</c:v>
                </c:pt>
                <c:pt idx="10">
                  <c:v>148</c:v>
                </c:pt>
                <c:pt idx="11">
                  <c:v>153</c:v>
                </c:pt>
                <c:pt idx="12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E-6E42-A669-56A0E8F34D55}"/>
            </c:ext>
          </c:extLst>
        </c:ser>
        <c:ser>
          <c:idx val="1"/>
          <c:order val="1"/>
          <c:tx>
            <c:strRef>
              <c:f>Pivot_Analysis!$K$1:$K$2</c:f>
              <c:strCache>
                <c:ptCount val="1"/>
                <c:pt idx="0">
                  <c:v>Hilmar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Pivot_Analysis!$I$3:$I$20</c:f>
              <c:multiLvlStrCache>
                <c:ptCount val="13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8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Pivot_Analysis!$K$3:$K$20</c:f>
              <c:numCache>
                <c:formatCode>0</c:formatCode>
                <c:ptCount val="13"/>
                <c:pt idx="0">
                  <c:v>27</c:v>
                </c:pt>
                <c:pt idx="1">
                  <c:v>45</c:v>
                </c:pt>
                <c:pt idx="2">
                  <c:v>39</c:v>
                </c:pt>
                <c:pt idx="3">
                  <c:v>30</c:v>
                </c:pt>
                <c:pt idx="4">
                  <c:v>24</c:v>
                </c:pt>
                <c:pt idx="5">
                  <c:v>24</c:v>
                </c:pt>
                <c:pt idx="6">
                  <c:v>29</c:v>
                </c:pt>
                <c:pt idx="7">
                  <c:v>36</c:v>
                </c:pt>
                <c:pt idx="8">
                  <c:v>25</c:v>
                </c:pt>
                <c:pt idx="9">
                  <c:v>26</c:v>
                </c:pt>
                <c:pt idx="10">
                  <c:v>22</c:v>
                </c:pt>
                <c:pt idx="11">
                  <c:v>29</c:v>
                </c:pt>
                <c:pt idx="1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9E-6E42-A669-56A0E8F34D55}"/>
            </c:ext>
          </c:extLst>
        </c:ser>
        <c:ser>
          <c:idx val="2"/>
          <c:order val="2"/>
          <c:tx>
            <c:strRef>
              <c:f>Pivot_Analysis!$L$1:$L$2</c:f>
              <c:strCache>
                <c:ptCount val="1"/>
                <c:pt idx="0">
                  <c:v>Livingston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Pivot_Analysis!$I$3:$I$20</c:f>
              <c:multiLvlStrCache>
                <c:ptCount val="13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8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Pivot_Analysis!$L$3:$L$20</c:f>
              <c:numCache>
                <c:formatCode>0</c:formatCode>
                <c:ptCount val="13"/>
                <c:pt idx="0">
                  <c:v>27</c:v>
                </c:pt>
                <c:pt idx="1">
                  <c:v>22</c:v>
                </c:pt>
                <c:pt idx="2">
                  <c:v>32</c:v>
                </c:pt>
                <c:pt idx="3">
                  <c:v>31</c:v>
                </c:pt>
                <c:pt idx="4">
                  <c:v>32</c:v>
                </c:pt>
                <c:pt idx="5">
                  <c:v>40</c:v>
                </c:pt>
                <c:pt idx="6">
                  <c:v>31</c:v>
                </c:pt>
                <c:pt idx="7">
                  <c:v>28</c:v>
                </c:pt>
                <c:pt idx="8">
                  <c:v>34</c:v>
                </c:pt>
                <c:pt idx="9">
                  <c:v>30</c:v>
                </c:pt>
                <c:pt idx="10">
                  <c:v>29</c:v>
                </c:pt>
                <c:pt idx="11">
                  <c:v>22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9E-6E42-A669-56A0E8F34D55}"/>
            </c:ext>
          </c:extLst>
        </c:ser>
        <c:ser>
          <c:idx val="3"/>
          <c:order val="3"/>
          <c:tx>
            <c:strRef>
              <c:f>Pivot_Analysis!$M$1:$M$2</c:f>
              <c:strCache>
                <c:ptCount val="1"/>
                <c:pt idx="0">
                  <c:v>Los Banos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Pivot_Analysis!$I$3:$I$20</c:f>
              <c:multiLvlStrCache>
                <c:ptCount val="13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8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Pivot_Analysis!$M$3:$M$20</c:f>
              <c:numCache>
                <c:formatCode>0</c:formatCode>
                <c:ptCount val="13"/>
                <c:pt idx="0">
                  <c:v>279</c:v>
                </c:pt>
                <c:pt idx="1">
                  <c:v>292</c:v>
                </c:pt>
                <c:pt idx="2">
                  <c:v>299</c:v>
                </c:pt>
                <c:pt idx="3">
                  <c:v>223</c:v>
                </c:pt>
                <c:pt idx="4">
                  <c:v>253</c:v>
                </c:pt>
                <c:pt idx="5">
                  <c:v>285</c:v>
                </c:pt>
                <c:pt idx="6">
                  <c:v>308</c:v>
                </c:pt>
                <c:pt idx="7">
                  <c:v>251</c:v>
                </c:pt>
                <c:pt idx="8">
                  <c:v>232</c:v>
                </c:pt>
                <c:pt idx="9">
                  <c:v>279</c:v>
                </c:pt>
                <c:pt idx="10">
                  <c:v>279</c:v>
                </c:pt>
                <c:pt idx="11">
                  <c:v>220</c:v>
                </c:pt>
                <c:pt idx="12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9E-6E42-A669-56A0E8F34D55}"/>
            </c:ext>
          </c:extLst>
        </c:ser>
        <c:ser>
          <c:idx val="4"/>
          <c:order val="4"/>
          <c:tx>
            <c:strRef>
              <c:f>Pivot_Analysis!$N$1:$N$2</c:f>
              <c:strCache>
                <c:ptCount val="1"/>
                <c:pt idx="0">
                  <c:v>Merced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Pivot_Analysis!$I$3:$I$20</c:f>
              <c:multiLvlStrCache>
                <c:ptCount val="13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8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Pivot_Analysis!$N$3:$N$20</c:f>
              <c:numCache>
                <c:formatCode>0</c:formatCode>
                <c:ptCount val="13"/>
                <c:pt idx="0">
                  <c:v>403</c:v>
                </c:pt>
                <c:pt idx="1">
                  <c:v>607</c:v>
                </c:pt>
                <c:pt idx="2">
                  <c:v>628</c:v>
                </c:pt>
                <c:pt idx="3">
                  <c:v>479</c:v>
                </c:pt>
                <c:pt idx="4">
                  <c:v>595</c:v>
                </c:pt>
                <c:pt idx="5">
                  <c:v>654</c:v>
                </c:pt>
                <c:pt idx="6">
                  <c:v>527</c:v>
                </c:pt>
                <c:pt idx="7">
                  <c:v>512</c:v>
                </c:pt>
                <c:pt idx="8">
                  <c:v>516</c:v>
                </c:pt>
                <c:pt idx="9">
                  <c:v>632</c:v>
                </c:pt>
                <c:pt idx="10">
                  <c:v>661</c:v>
                </c:pt>
                <c:pt idx="11">
                  <c:v>559</c:v>
                </c:pt>
                <c:pt idx="12">
                  <c:v>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9E-6E42-A669-56A0E8F34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4555039"/>
        <c:axId val="664675279"/>
      </c:barChart>
      <c:catAx>
        <c:axId val="66455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675279"/>
        <c:crosses val="autoZero"/>
        <c:auto val="1"/>
        <c:lblAlgn val="ctr"/>
        <c:lblOffset val="100"/>
        <c:noMultiLvlLbl val="0"/>
      </c:catAx>
      <c:valAx>
        <c:axId val="66467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5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825500" y="1435101"/>
    <xdr:ext cx="5448300" cy="30987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537D6-4AED-7445-805E-3D4AEA89BD6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twoCellAnchor>
    <xdr:from>
      <xdr:col>9</xdr:col>
      <xdr:colOff>0</xdr:colOff>
      <xdr:row>31</xdr:row>
      <xdr:rowOff>76200</xdr:rowOff>
    </xdr:from>
    <xdr:to>
      <xdr:col>15</xdr:col>
      <xdr:colOff>622300</xdr:colOff>
      <xdr:row>46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0130B6-8912-7A4E-922E-44C4EC2825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10</xdr:col>
      <xdr:colOff>901700</xdr:colOff>
      <xdr:row>31</xdr:row>
      <xdr:rowOff>127000</xdr:rowOff>
    </xdr:from>
    <xdr:ext cx="1409700" cy="2667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BD5483-9BEC-B5E9-4C90-795AC9D97FB6}"/>
            </a:ext>
          </a:extLst>
        </xdr:cNvPr>
        <xdr:cNvSpPr txBox="1"/>
      </xdr:nvSpPr>
      <xdr:spPr>
        <a:xfrm>
          <a:off x="9334500" y="6438900"/>
          <a:ext cx="1409700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Homes</a:t>
          </a:r>
          <a:r>
            <a:rPr lang="en-US" sz="1100" baseline="0"/>
            <a:t> Sold by City</a:t>
          </a:r>
          <a:endParaRPr lang="en-US" sz="1100"/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0.32867</cdr:x>
      <cdr:y>0.03279</cdr:y>
    </cdr:from>
    <cdr:to>
      <cdr:x>0.67832</cdr:x>
      <cdr:y>0.11475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8C1A538-AF10-612A-EA87-CA4FDF7A5D78}"/>
            </a:ext>
          </a:extLst>
        </cdr:cNvPr>
        <cdr:cNvSpPr txBox="1"/>
      </cdr:nvSpPr>
      <cdr:spPr>
        <a:xfrm xmlns:a="http://schemas.openxmlformats.org/drawingml/2006/main">
          <a:off x="1790700" y="101599"/>
          <a:ext cx="1905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Average Median Home Sales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ge Reyes" refreshedDate="46162.454164120369" createdVersion="8" refreshedVersion="8" minRefreshableVersion="3" recordCount="190" xr:uid="{0A5D4508-6D31-0845-B37F-B30C097FBBFF}">
  <cacheSource type="worksheet">
    <worksheetSource name="tbl_housing"/>
  </cacheSource>
  <cacheFields count="25">
    <cacheField name="Period_Begin" numFmtId="14">
      <sharedItems containsSemiMixedTypes="0" containsNonDate="0" containsDate="1" containsString="0" minDate="2023-01-01T00:00:00" maxDate="2026-02-02T00:00:00" count="38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</sharedItems>
      <fieldGroup par="21"/>
    </cacheField>
    <cacheField name="Period_End" numFmtId="14">
      <sharedItems containsSemiMixedTypes="0" containsNonDate="0" containsDate="1" containsString="0" minDate="2023-03-31T00:00:00" maxDate="2026-05-01T00:00:00" count="38">
        <d v="2023-03-31T00:00:00"/>
        <d v="2023-04-30T00:00:00"/>
        <d v="2023-05-31T00:00:00"/>
        <d v="2023-06-30T00:00:00"/>
        <d v="2023-07-31T00:00:00"/>
        <d v="2023-08-31T00:00:00"/>
        <d v="2023-09-30T00:00:00"/>
        <d v="2023-10-31T00:00:00"/>
        <d v="2023-11-30T00:00:00"/>
        <d v="2023-12-31T00:00:00"/>
        <d v="2024-01-31T00:00:00"/>
        <d v="2024-02-29T00:00:00"/>
        <d v="2024-03-31T00:00:00"/>
        <d v="2024-04-30T00:00:00"/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5-10-31T00:00:00"/>
        <d v="2025-11-30T00:00:00"/>
        <d v="2025-12-31T00:00:00"/>
        <d v="2026-01-31T00:00:00"/>
        <d v="2026-02-28T00:00:00"/>
        <d v="2026-03-31T00:00:00"/>
        <d v="2026-04-30T00:00:00"/>
      </sharedItems>
      <fieldGroup par="24"/>
    </cacheField>
    <cacheField name="Year" numFmtId="0">
      <sharedItems containsSemiMixedTypes="0" containsString="0" containsNumber="1" containsInteger="1" minValue="2023" maxValue="2026" count="4">
        <n v="2023"/>
        <n v="2024"/>
        <n v="2025"/>
        <n v="2026"/>
      </sharedItems>
    </cacheField>
    <cacheField name="Month" numFmtId="0">
      <sharedItems containsSemiMixedTypes="0" containsString="0" containsNumber="1" containsInteger="1" minValue="1" maxValue="12"/>
    </cacheField>
    <cacheField name="Quarter" numFmtId="0">
      <sharedItems containsSemiMixedTypes="0" containsString="0" containsNumber="1" containsInteger="1" minValue="1" maxValue="4"/>
    </cacheField>
    <cacheField name="Frequency" numFmtId="0">
      <sharedItems/>
    </cacheField>
    <cacheField name="City" numFmtId="0">
      <sharedItems count="5">
        <s v="Atwater"/>
        <s v="Hilmar"/>
        <s v="Livingston"/>
        <s v="Los Banos"/>
        <s v="Merced"/>
      </sharedItems>
    </cacheField>
    <cacheField name="Homes_Sold" numFmtId="0">
      <sharedItems containsSemiMixedTypes="0" containsString="0" containsNumber="1" containsInteger="1" minValue="5" maxValue="249"/>
    </cacheField>
    <cacheField name="Homes_Sold_YOY_Pct" numFmtId="0">
      <sharedItems containsSemiMixedTypes="0" containsString="0" containsNumber="1" minValue="-71.430000000000007" maxValue="150"/>
    </cacheField>
    <cacheField name="Median_Sale_Price" numFmtId="0">
      <sharedItems containsSemiMixedTypes="0" containsString="0" containsNumber="1" containsInteger="1" minValue="343500" maxValue="700000"/>
    </cacheField>
    <cacheField name="Median_Sale_Price_YOY_Pct" numFmtId="0">
      <sharedItems containsSemiMixedTypes="0" containsString="0" containsNumber="1" minValue="-25" maxValue="44.33"/>
    </cacheField>
    <cacheField name="Median_Days_On_Market" numFmtId="0">
      <sharedItems containsSemiMixedTypes="0" containsString="0" containsNumber="1" containsInteger="1" minValue="9" maxValue="130"/>
    </cacheField>
    <cacheField name="Median_Days_On_Market_YOY_Pct" numFmtId="0">
      <sharedItems containsSemiMixedTypes="0" containsString="0" containsNumber="1" minValue="-7400" maxValue="11550"/>
    </cacheField>
    <cacheField name="New_Listings" numFmtId="0">
      <sharedItems containsSemiMixedTypes="0" containsString="0" containsNumber="1" containsInteger="1" minValue="2" maxValue="314"/>
    </cacheField>
    <cacheField name="New_Listings_YOY_Pct" numFmtId="0">
      <sharedItems containsSemiMixedTypes="0" containsString="0" containsNumber="1" minValue="-81.819999999999993" maxValue="600"/>
    </cacheField>
    <cacheField name="Active_Listings" numFmtId="0">
      <sharedItems containsSemiMixedTypes="0" containsString="0" containsNumber="1" containsInteger="1" minValue="10" maxValue="499"/>
    </cacheField>
    <cacheField name="Active_Listings_YOY_Pct" numFmtId="0">
      <sharedItems containsSemiMixedTypes="0" containsString="0" containsNumber="1" minValue="-70.59" maxValue="110"/>
    </cacheField>
    <cacheField name="Pending_Sales" numFmtId="0">
      <sharedItems containsSemiMixedTypes="0" containsString="0" containsNumber="1" containsInteger="1" minValue="5" maxValue="294"/>
    </cacheField>
    <cacheField name="Pending_Sales_YOY_Pct" numFmtId="0">
      <sharedItems containsSemiMixedTypes="0" containsString="0" containsNumber="1" minValue="-68" maxValue="187.5"/>
    </cacheField>
    <cacheField name="Months (Period_Begin)" numFmtId="0" databaseField="0">
      <fieldGroup base="0">
        <rangePr groupBy="months" startDate="2023-01-01T00:00:00" endDate="2026-02-02T00:00:00"/>
        <groupItems count="14">
          <s v="&lt;1/1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/26"/>
        </groupItems>
      </fieldGroup>
    </cacheField>
    <cacheField name="Quarters (Period_Begin)" numFmtId="0" databaseField="0">
      <fieldGroup base="0">
        <rangePr groupBy="quarters" startDate="2023-01-01T00:00:00" endDate="2026-02-02T00:00:00"/>
        <groupItems count="6">
          <s v="&lt;1/1/23"/>
          <s v="Qtr1"/>
          <s v="Qtr2"/>
          <s v="Qtr3"/>
          <s v="Qtr4"/>
          <s v="&gt;2/2/26"/>
        </groupItems>
      </fieldGroup>
    </cacheField>
    <cacheField name="Years (Period_Begin)" numFmtId="0" databaseField="0">
      <fieldGroup base="0">
        <rangePr groupBy="years" startDate="2023-01-01T00:00:00" endDate="2026-02-02T00:00:00"/>
        <groupItems count="6">
          <s v="&lt;1/1/23"/>
          <s v="2023"/>
          <s v="2024"/>
          <s v="2025"/>
          <s v="2026"/>
          <s v="&gt;2/2/26"/>
        </groupItems>
      </fieldGroup>
    </cacheField>
    <cacheField name="Months (Period_End)" numFmtId="0" databaseField="0">
      <fieldGroup base="1">
        <rangePr groupBy="months" startDate="2023-03-31T00:00:00" endDate="2026-05-01T00:00:00"/>
        <groupItems count="14">
          <s v="&lt;3/31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1/26"/>
        </groupItems>
      </fieldGroup>
    </cacheField>
    <cacheField name="Quarters (Period_End)" numFmtId="0" databaseField="0">
      <fieldGroup base="1">
        <rangePr groupBy="quarters" startDate="2023-03-31T00:00:00" endDate="2026-05-01T00:00:00"/>
        <groupItems count="6">
          <s v="&lt;3/31/23"/>
          <s v="Qtr1"/>
          <s v="Qtr2"/>
          <s v="Qtr3"/>
          <s v="Qtr4"/>
          <s v="&gt;5/1/26"/>
        </groupItems>
      </fieldGroup>
    </cacheField>
    <cacheField name="Years (Period_End)" numFmtId="0" databaseField="0">
      <fieldGroup base="1">
        <rangePr groupBy="years" startDate="2023-03-31T00:00:00" endDate="2026-05-01T00:00:00"/>
        <groupItems count="6">
          <s v="&lt;3/31/23"/>
          <s v="2023"/>
          <s v="2024"/>
          <s v="2025"/>
          <s v="2026"/>
          <s v="&gt;5/1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x v="0"/>
    <x v="0"/>
    <x v="0"/>
    <n v="1"/>
    <n v="1"/>
    <s v="Rolling 3 Months"/>
    <x v="0"/>
    <n v="36"/>
    <n v="-55.56"/>
    <n v="356750"/>
    <n v="-12.46"/>
    <n v="44"/>
    <n v="3050"/>
    <n v="43"/>
    <n v="-56.12"/>
    <n v="70"/>
    <n v="-41.18"/>
    <n v="53"/>
    <n v="-39.08"/>
  </r>
  <r>
    <x v="1"/>
    <x v="1"/>
    <x v="0"/>
    <n v="2"/>
    <n v="1"/>
    <s v="Rolling 3 Months"/>
    <x v="0"/>
    <n v="46"/>
    <n v="-48.31"/>
    <n v="363250"/>
    <n v="-12.47"/>
    <n v="18"/>
    <n v="700"/>
    <n v="53"/>
    <n v="-47.52"/>
    <n v="73"/>
    <n v="-38.659999999999997"/>
    <n v="62"/>
    <n v="-28.74"/>
  </r>
  <r>
    <x v="2"/>
    <x v="2"/>
    <x v="0"/>
    <n v="3"/>
    <n v="1"/>
    <s v="Rolling 3 Months"/>
    <x v="0"/>
    <n v="61"/>
    <n v="-33.700000000000003"/>
    <n v="375000"/>
    <n v="-9.74"/>
    <n v="12"/>
    <n v="50"/>
    <n v="65"/>
    <n v="-40.909999999999997"/>
    <n v="83"/>
    <n v="-38.06"/>
    <n v="70"/>
    <n v="-28.57"/>
  </r>
  <r>
    <x v="3"/>
    <x v="3"/>
    <x v="0"/>
    <n v="4"/>
    <n v="2"/>
    <s v="Rolling 3 Months"/>
    <x v="0"/>
    <n v="62"/>
    <n v="-27.91"/>
    <n v="399000"/>
    <n v="-3.96"/>
    <n v="10"/>
    <n v="-400"/>
    <n v="66"/>
    <n v="-25"/>
    <n v="86"/>
    <n v="-32.28"/>
    <n v="68"/>
    <n v="-13.92"/>
  </r>
  <r>
    <x v="4"/>
    <x v="4"/>
    <x v="0"/>
    <n v="5"/>
    <n v="2"/>
    <s v="Rolling 3 Months"/>
    <x v="0"/>
    <n v="55"/>
    <n v="-17.91"/>
    <n v="400000"/>
    <n v="-1.23"/>
    <n v="10"/>
    <n v="-1100"/>
    <n v="68"/>
    <n v="-30.61"/>
    <n v="84"/>
    <n v="-36.36"/>
    <n v="56"/>
    <n v="-24.32"/>
  </r>
  <r>
    <x v="5"/>
    <x v="5"/>
    <x v="0"/>
    <n v="6"/>
    <n v="2"/>
    <s v="Rolling 3 Months"/>
    <x v="0"/>
    <n v="52"/>
    <n v="-17.46"/>
    <n v="379000"/>
    <n v="-0.26"/>
    <n v="15"/>
    <n v="-1350"/>
    <n v="71"/>
    <n v="-22.83"/>
    <n v="91"/>
    <n v="-32.090000000000003"/>
    <n v="55"/>
    <n v="-28.57"/>
  </r>
  <r>
    <x v="6"/>
    <x v="6"/>
    <x v="0"/>
    <n v="7"/>
    <n v="3"/>
    <s v="Rolling 3 Months"/>
    <x v="0"/>
    <n v="53"/>
    <n v="-18.46"/>
    <n v="371500"/>
    <n v="-0.13"/>
    <n v="24"/>
    <n v="-200"/>
    <n v="61"/>
    <n v="-28.24"/>
    <n v="88"/>
    <n v="-35.770000000000003"/>
    <n v="51"/>
    <n v="-32.89"/>
  </r>
  <r>
    <x v="7"/>
    <x v="7"/>
    <x v="0"/>
    <n v="8"/>
    <n v="3"/>
    <s v="Rolling 3 Months"/>
    <x v="0"/>
    <n v="53"/>
    <n v="-22.06"/>
    <n v="384000"/>
    <n v="2.4"/>
    <n v="25"/>
    <n v="-450"/>
    <n v="60"/>
    <n v="-13.04"/>
    <n v="84"/>
    <n v="-33.86"/>
    <n v="44"/>
    <n v="-35.29"/>
  </r>
  <r>
    <x v="8"/>
    <x v="8"/>
    <x v="0"/>
    <n v="9"/>
    <n v="3"/>
    <s v="Rolling 3 Months"/>
    <x v="0"/>
    <n v="46"/>
    <n v="-17.86"/>
    <n v="387000"/>
    <n v="3.2"/>
    <n v="19"/>
    <n v="-900"/>
    <n v="48"/>
    <n v="-15.79"/>
    <n v="75"/>
    <n v="-31.19"/>
    <n v="39"/>
    <n v="-25"/>
  </r>
  <r>
    <x v="9"/>
    <x v="9"/>
    <x v="0"/>
    <n v="10"/>
    <n v="4"/>
    <s v="Rolling 3 Months"/>
    <x v="0"/>
    <n v="36"/>
    <n v="-30.77"/>
    <n v="391250"/>
    <n v="7.12"/>
    <n v="16"/>
    <n v="-1150"/>
    <n v="45"/>
    <n v="15.38"/>
    <n v="72"/>
    <n v="-20"/>
    <n v="42"/>
    <n v="-8.6999999999999993"/>
  </r>
  <r>
    <x v="10"/>
    <x v="10"/>
    <x v="0"/>
    <n v="11"/>
    <n v="4"/>
    <s v="Rolling 3 Months"/>
    <x v="0"/>
    <n v="37"/>
    <n v="-13.95"/>
    <n v="365000"/>
    <n v="1.81"/>
    <n v="18"/>
    <n v="-1100"/>
    <n v="45"/>
    <n v="45.16"/>
    <n v="76"/>
    <n v="-1.3"/>
    <n v="43"/>
    <n v="2.38"/>
  </r>
  <r>
    <x v="11"/>
    <x v="11"/>
    <x v="0"/>
    <n v="12"/>
    <n v="4"/>
    <s v="Rolling 3 Months"/>
    <x v="0"/>
    <n v="35"/>
    <n v="-7.89"/>
    <n v="372000"/>
    <n v="6.29"/>
    <n v="24"/>
    <n v="-1800"/>
    <n v="54"/>
    <n v="107.69"/>
    <n v="82"/>
    <n v="20.59"/>
    <n v="54"/>
    <n v="25.58"/>
  </r>
  <r>
    <x v="12"/>
    <x v="12"/>
    <x v="1"/>
    <n v="1"/>
    <n v="1"/>
    <s v="Rolling 3 Months"/>
    <x v="0"/>
    <n v="44"/>
    <n v="22.22"/>
    <n v="371000"/>
    <n v="3.99"/>
    <n v="23"/>
    <n v="-2050"/>
    <n v="76"/>
    <n v="76.739999999999995"/>
    <n v="106"/>
    <n v="51.43"/>
    <n v="60"/>
    <n v="13.21"/>
  </r>
  <r>
    <x v="13"/>
    <x v="13"/>
    <x v="1"/>
    <n v="2"/>
    <n v="1"/>
    <s v="Rolling 3 Months"/>
    <x v="0"/>
    <n v="61"/>
    <n v="32.61"/>
    <n v="375000"/>
    <n v="3.23"/>
    <n v="11"/>
    <n v="-700"/>
    <n v="83"/>
    <n v="56.6"/>
    <n v="113"/>
    <n v="54.79"/>
    <n v="74"/>
    <n v="19.350000000000001"/>
  </r>
  <r>
    <x v="14"/>
    <x v="14"/>
    <x v="1"/>
    <n v="3"/>
    <n v="1"/>
    <s v="Rolling 3 Months"/>
    <x v="0"/>
    <n v="65"/>
    <n v="6.56"/>
    <n v="400000"/>
    <n v="6.67"/>
    <n v="14"/>
    <n v="200"/>
    <n v="83"/>
    <n v="27.69"/>
    <n v="116"/>
    <n v="39.76"/>
    <n v="73"/>
    <n v="4.29"/>
  </r>
  <r>
    <x v="15"/>
    <x v="15"/>
    <x v="1"/>
    <n v="4"/>
    <n v="2"/>
    <s v="Rolling 3 Months"/>
    <x v="0"/>
    <n v="65"/>
    <n v="4.84"/>
    <n v="415000"/>
    <n v="4.01"/>
    <n v="20"/>
    <n v="1000"/>
    <n v="72"/>
    <n v="9.09"/>
    <n v="113"/>
    <n v="31.4"/>
    <n v="76"/>
    <n v="11.76"/>
  </r>
  <r>
    <x v="16"/>
    <x v="16"/>
    <x v="1"/>
    <n v="5"/>
    <n v="2"/>
    <s v="Rolling 3 Months"/>
    <x v="0"/>
    <n v="56"/>
    <n v="1.82"/>
    <n v="419000"/>
    <n v="4.75"/>
    <n v="33"/>
    <n v="2300"/>
    <n v="75"/>
    <n v="10.29"/>
    <n v="114"/>
    <n v="35.71"/>
    <n v="70"/>
    <n v="25"/>
  </r>
  <r>
    <x v="17"/>
    <x v="17"/>
    <x v="1"/>
    <n v="6"/>
    <n v="2"/>
    <s v="Rolling 3 Months"/>
    <x v="0"/>
    <n v="70"/>
    <n v="34.619999999999997"/>
    <n v="415000"/>
    <n v="9.5"/>
    <n v="32"/>
    <n v="1750"/>
    <n v="67"/>
    <n v="-5.63"/>
    <n v="105"/>
    <n v="15.38"/>
    <n v="70"/>
    <n v="27.27"/>
  </r>
  <r>
    <x v="18"/>
    <x v="18"/>
    <x v="1"/>
    <n v="7"/>
    <n v="3"/>
    <s v="Rolling 3 Months"/>
    <x v="0"/>
    <n v="69"/>
    <n v="30.19"/>
    <n v="407500"/>
    <n v="9.69"/>
    <n v="30"/>
    <n v="600"/>
    <n v="63"/>
    <n v="3.28"/>
    <n v="98"/>
    <n v="11.36"/>
    <n v="59"/>
    <n v="15.69"/>
  </r>
  <r>
    <x v="19"/>
    <x v="19"/>
    <x v="1"/>
    <n v="8"/>
    <n v="3"/>
    <s v="Rolling 3 Months"/>
    <x v="0"/>
    <n v="54"/>
    <n v="1.89"/>
    <n v="410000"/>
    <n v="6.77"/>
    <n v="22"/>
    <n v="-300"/>
    <n v="51"/>
    <n v="-15"/>
    <n v="95"/>
    <n v="13.1"/>
    <n v="52"/>
    <n v="18.18"/>
  </r>
  <r>
    <x v="20"/>
    <x v="20"/>
    <x v="1"/>
    <n v="9"/>
    <n v="3"/>
    <s v="Rolling 3 Months"/>
    <x v="0"/>
    <n v="42"/>
    <n v="-8.6999999999999993"/>
    <n v="400000"/>
    <n v="3.36"/>
    <n v="27"/>
    <n v="850"/>
    <n v="50"/>
    <n v="4.17"/>
    <n v="84"/>
    <n v="12"/>
    <n v="48"/>
    <n v="23.08"/>
  </r>
  <r>
    <x v="21"/>
    <x v="21"/>
    <x v="1"/>
    <n v="10"/>
    <n v="4"/>
    <s v="Rolling 3 Months"/>
    <x v="0"/>
    <n v="45"/>
    <n v="25"/>
    <n v="400000"/>
    <n v="2.2400000000000002"/>
    <n v="39"/>
    <n v="2300"/>
    <n v="47"/>
    <n v="4.4400000000000004"/>
    <n v="86"/>
    <n v="19.440000000000001"/>
    <n v="48"/>
    <n v="14.29"/>
  </r>
  <r>
    <x v="22"/>
    <x v="22"/>
    <x v="1"/>
    <n v="11"/>
    <n v="4"/>
    <s v="Rolling 3 Months"/>
    <x v="0"/>
    <n v="52"/>
    <n v="40.54"/>
    <n v="400000"/>
    <n v="9.59"/>
    <n v="41"/>
    <n v="2250"/>
    <n v="50"/>
    <n v="11.11"/>
    <n v="89"/>
    <n v="17.11"/>
    <n v="56"/>
    <n v="30.23"/>
  </r>
  <r>
    <x v="23"/>
    <x v="23"/>
    <x v="1"/>
    <n v="12"/>
    <n v="4"/>
    <s v="Rolling 3 Months"/>
    <x v="0"/>
    <n v="56"/>
    <n v="60"/>
    <n v="397500"/>
    <n v="6.85"/>
    <n v="41"/>
    <n v="1650"/>
    <n v="55"/>
    <n v="1.85"/>
    <n v="91"/>
    <n v="10.98"/>
    <n v="62"/>
    <n v="14.81"/>
  </r>
  <r>
    <x v="24"/>
    <x v="24"/>
    <x v="2"/>
    <n v="1"/>
    <n v="1"/>
    <s v="Rolling 3 Months"/>
    <x v="0"/>
    <n v="54"/>
    <n v="22.73"/>
    <n v="409750"/>
    <n v="10.44"/>
    <n v="32"/>
    <n v="900"/>
    <n v="58"/>
    <n v="-23.68"/>
    <n v="92"/>
    <n v="-13.21"/>
    <n v="62"/>
    <n v="3.33"/>
  </r>
  <r>
    <x v="25"/>
    <x v="25"/>
    <x v="2"/>
    <n v="2"/>
    <n v="1"/>
    <s v="Rolling 3 Months"/>
    <x v="0"/>
    <n v="59"/>
    <n v="-3.28"/>
    <n v="408000"/>
    <n v="8.8000000000000007"/>
    <n v="30"/>
    <n v="1900"/>
    <n v="64"/>
    <n v="-22.89"/>
    <n v="92"/>
    <n v="-18.579999999999998"/>
    <n v="60"/>
    <n v="-18.920000000000002"/>
  </r>
  <r>
    <x v="26"/>
    <x v="26"/>
    <x v="2"/>
    <n v="3"/>
    <n v="1"/>
    <s v="Rolling 3 Months"/>
    <x v="0"/>
    <n v="54"/>
    <n v="-16.920000000000002"/>
    <n v="425000"/>
    <n v="6.25"/>
    <n v="22"/>
    <n v="750"/>
    <n v="77"/>
    <n v="-7.23"/>
    <n v="101"/>
    <n v="-12.93"/>
    <n v="57"/>
    <n v="-21.92"/>
  </r>
  <r>
    <x v="27"/>
    <x v="27"/>
    <x v="2"/>
    <n v="4"/>
    <n v="2"/>
    <s v="Rolling 3 Months"/>
    <x v="0"/>
    <n v="47"/>
    <n v="-27.69"/>
    <n v="439000"/>
    <n v="5.78"/>
    <n v="24"/>
    <n v="400"/>
    <n v="83"/>
    <n v="15.28"/>
    <n v="114"/>
    <n v="0.88"/>
    <n v="64"/>
    <n v="-15.79"/>
  </r>
  <r>
    <x v="28"/>
    <x v="28"/>
    <x v="2"/>
    <n v="5"/>
    <n v="2"/>
    <s v="Rolling 3 Months"/>
    <x v="0"/>
    <n v="53"/>
    <n v="-5.36"/>
    <n v="455000"/>
    <n v="8.59"/>
    <n v="24"/>
    <n v="-900"/>
    <n v="77"/>
    <n v="2.67"/>
    <n v="111"/>
    <n v="-2.63"/>
    <n v="59"/>
    <n v="-15.71"/>
  </r>
  <r>
    <x v="29"/>
    <x v="29"/>
    <x v="2"/>
    <n v="6"/>
    <n v="2"/>
    <s v="Rolling 3 Months"/>
    <x v="0"/>
    <n v="56"/>
    <n v="-20"/>
    <n v="443500"/>
    <n v="6.87"/>
    <n v="34"/>
    <n v="200"/>
    <n v="60"/>
    <n v="-10.45"/>
    <n v="109"/>
    <n v="3.81"/>
    <n v="58"/>
    <n v="-17.14"/>
  </r>
  <r>
    <x v="30"/>
    <x v="30"/>
    <x v="2"/>
    <n v="7"/>
    <n v="3"/>
    <s v="Rolling 3 Months"/>
    <x v="0"/>
    <n v="54"/>
    <n v="-21.74"/>
    <n v="432500"/>
    <n v="6.13"/>
    <n v="34"/>
    <n v="400"/>
    <n v="58"/>
    <n v="-7.94"/>
    <n v="106"/>
    <n v="8.16"/>
    <n v="56"/>
    <n v="-5.08"/>
  </r>
  <r>
    <x v="31"/>
    <x v="31"/>
    <x v="2"/>
    <n v="8"/>
    <n v="3"/>
    <s v="Rolling 3 Months"/>
    <x v="0"/>
    <n v="51"/>
    <n v="-5.56"/>
    <n v="420000"/>
    <n v="2.44"/>
    <n v="45"/>
    <n v="2250"/>
    <n v="57"/>
    <n v="11.76"/>
    <n v="102"/>
    <n v="7.37"/>
    <n v="51"/>
    <n v="-1.92"/>
  </r>
  <r>
    <x v="32"/>
    <x v="32"/>
    <x v="2"/>
    <n v="9"/>
    <n v="3"/>
    <s v="Rolling 3 Months"/>
    <x v="0"/>
    <n v="43"/>
    <n v="2.38"/>
    <n v="412000"/>
    <n v="3"/>
    <n v="46"/>
    <n v="1900"/>
    <n v="63"/>
    <n v="26"/>
    <n v="105"/>
    <n v="25"/>
    <n v="54"/>
    <n v="12.5"/>
  </r>
  <r>
    <x v="33"/>
    <x v="33"/>
    <x v="2"/>
    <n v="10"/>
    <n v="4"/>
    <s v="Rolling 3 Months"/>
    <x v="0"/>
    <n v="56"/>
    <n v="24.44"/>
    <n v="410000"/>
    <n v="2.5"/>
    <n v="38"/>
    <n v="-100"/>
    <n v="52"/>
    <n v="10.64"/>
    <n v="98"/>
    <n v="13.95"/>
    <n v="57"/>
    <n v="18.75"/>
  </r>
  <r>
    <x v="34"/>
    <x v="34"/>
    <x v="2"/>
    <n v="11"/>
    <n v="4"/>
    <s v="Rolling 3 Months"/>
    <x v="0"/>
    <n v="45"/>
    <n v="-13.46"/>
    <n v="420000"/>
    <n v="5"/>
    <n v="28"/>
    <n v="-1250"/>
    <n v="49"/>
    <n v="-2"/>
    <n v="84"/>
    <n v="-5.62"/>
    <n v="55"/>
    <n v="-1.79"/>
  </r>
  <r>
    <x v="35"/>
    <x v="35"/>
    <x v="2"/>
    <n v="12"/>
    <n v="4"/>
    <s v="Rolling 3 Months"/>
    <x v="0"/>
    <n v="52"/>
    <n v="-7.14"/>
    <n v="412500"/>
    <n v="3.77"/>
    <n v="25"/>
    <n v="-1550"/>
    <n v="37"/>
    <n v="-32.729999999999997"/>
    <n v="76"/>
    <n v="-16.48"/>
    <n v="52"/>
    <n v="-16.13"/>
  </r>
  <r>
    <x v="36"/>
    <x v="36"/>
    <x v="3"/>
    <n v="1"/>
    <n v="1"/>
    <s v="Rolling 3 Months"/>
    <x v="0"/>
    <n v="44"/>
    <n v="-18.52"/>
    <n v="415000"/>
    <n v="1.28"/>
    <n v="29"/>
    <n v="-300"/>
    <n v="47"/>
    <n v="-18.97"/>
    <n v="81"/>
    <n v="-11.96"/>
    <n v="43"/>
    <n v="-30.65"/>
  </r>
  <r>
    <x v="37"/>
    <x v="37"/>
    <x v="3"/>
    <n v="2"/>
    <n v="1"/>
    <s v="Rolling 3 Months"/>
    <x v="0"/>
    <n v="45"/>
    <n v="-23.67"/>
    <n v="414786"/>
    <n v="1.66"/>
    <n v="29"/>
    <n v="-95.62"/>
    <n v="52"/>
    <n v="-18.100000000000001"/>
    <n v="86"/>
    <n v="-5.98"/>
    <n v="47"/>
    <n v="-20.99"/>
  </r>
  <r>
    <x v="0"/>
    <x v="0"/>
    <x v="0"/>
    <n v="1"/>
    <n v="1"/>
    <s v="Rolling 3 Months"/>
    <x v="1"/>
    <n v="7"/>
    <n v="-56.25"/>
    <n v="520000"/>
    <n v="17.510000000000002"/>
    <n v="35"/>
    <n v="1050"/>
    <n v="11"/>
    <n v="-26.67"/>
    <n v="17"/>
    <n v="-10.53"/>
    <n v="13"/>
    <n v="-18.75"/>
  </r>
  <r>
    <x v="1"/>
    <x v="1"/>
    <x v="0"/>
    <n v="2"/>
    <n v="1"/>
    <s v="Rolling 3 Months"/>
    <x v="1"/>
    <n v="7"/>
    <n v="-61.11"/>
    <n v="470000"/>
    <n v="2.62"/>
    <n v="52"/>
    <n v="2700"/>
    <n v="11"/>
    <n v="-31.25"/>
    <n v="18"/>
    <n v="0"/>
    <n v="14"/>
    <n v="16.670000000000002"/>
  </r>
  <r>
    <x v="2"/>
    <x v="2"/>
    <x v="0"/>
    <n v="3"/>
    <n v="1"/>
    <s v="Rolling 3 Months"/>
    <x v="1"/>
    <n v="13"/>
    <n v="62.5"/>
    <n v="500000"/>
    <n v="6.84"/>
    <n v="14"/>
    <n v="-350"/>
    <n v="20"/>
    <n v="33.33"/>
    <n v="28"/>
    <n v="75"/>
    <n v="21"/>
    <n v="162.5"/>
  </r>
  <r>
    <x v="3"/>
    <x v="3"/>
    <x v="0"/>
    <n v="4"/>
    <n v="2"/>
    <s v="Rolling 3 Months"/>
    <x v="1"/>
    <n v="17"/>
    <n v="70"/>
    <n v="485000"/>
    <n v="1.57"/>
    <n v="10"/>
    <n v="-1500"/>
    <n v="26"/>
    <n v="100"/>
    <n v="34"/>
    <n v="88.89"/>
    <n v="23"/>
    <n v="187.5"/>
  </r>
  <r>
    <x v="4"/>
    <x v="4"/>
    <x v="0"/>
    <n v="5"/>
    <n v="2"/>
    <s v="Rolling 3 Months"/>
    <x v="1"/>
    <n v="17"/>
    <n v="142.86000000000001"/>
    <n v="485000"/>
    <n v="4.3"/>
    <n v="10"/>
    <n v="-150"/>
    <n v="25"/>
    <n v="92.31"/>
    <n v="30"/>
    <n v="42.86"/>
    <n v="18"/>
    <n v="100"/>
  </r>
  <r>
    <x v="5"/>
    <x v="5"/>
    <x v="0"/>
    <n v="6"/>
    <n v="2"/>
    <s v="Rolling 3 Months"/>
    <x v="1"/>
    <n v="11"/>
    <n v="10"/>
    <n v="440000"/>
    <n v="-6.88"/>
    <n v="9"/>
    <n v="-3500"/>
    <n v="17"/>
    <n v="54.55"/>
    <n v="27"/>
    <n v="42.11"/>
    <n v="14"/>
    <n v="27.27"/>
  </r>
  <r>
    <x v="6"/>
    <x v="6"/>
    <x v="0"/>
    <n v="7"/>
    <n v="3"/>
    <s v="Rolling 3 Months"/>
    <x v="1"/>
    <n v="10"/>
    <n v="0"/>
    <n v="455000"/>
    <n v="4.5999999999999996"/>
    <n v="24"/>
    <n v="-1700"/>
    <n v="14"/>
    <n v="75"/>
    <n v="25"/>
    <n v="38.89"/>
    <n v="11"/>
    <n v="0"/>
  </r>
  <r>
    <x v="7"/>
    <x v="7"/>
    <x v="0"/>
    <n v="8"/>
    <n v="3"/>
    <s v="Rolling 3 Months"/>
    <x v="1"/>
    <n v="13"/>
    <n v="8.33"/>
    <n v="470000"/>
    <n v="6.82"/>
    <n v="19"/>
    <n v="-3000"/>
    <n v="14"/>
    <n v="75"/>
    <n v="24"/>
    <n v="26.32"/>
    <n v="16"/>
    <n v="33.33"/>
  </r>
  <r>
    <x v="8"/>
    <x v="8"/>
    <x v="0"/>
    <n v="9"/>
    <n v="3"/>
    <s v="Rolling 3 Months"/>
    <x v="1"/>
    <n v="16"/>
    <n v="60"/>
    <n v="426750"/>
    <n v="-2.46"/>
    <n v="24"/>
    <n v="-750"/>
    <n v="11"/>
    <n v="0"/>
    <n v="20"/>
    <n v="17.649999999999999"/>
    <n v="12"/>
    <n v="33.33"/>
  </r>
  <r>
    <x v="9"/>
    <x v="9"/>
    <x v="0"/>
    <n v="10"/>
    <n v="4"/>
    <s v="Rolling 3 Months"/>
    <x v="1"/>
    <n v="14"/>
    <n v="75"/>
    <n v="429500"/>
    <n v="-6.12"/>
    <n v="22"/>
    <n v="-1750"/>
    <n v="5"/>
    <n v="-50"/>
    <n v="17"/>
    <n v="13.33"/>
    <n v="10"/>
    <n v="66.67"/>
  </r>
  <r>
    <x v="10"/>
    <x v="10"/>
    <x v="0"/>
    <n v="11"/>
    <n v="4"/>
    <s v="Rolling 3 Months"/>
    <x v="1"/>
    <n v="10"/>
    <n v="42.86"/>
    <n v="415000"/>
    <n v="-17"/>
    <n v="27"/>
    <n v="1650"/>
    <n v="2"/>
    <n v="-80"/>
    <n v="10"/>
    <n v="-41.18"/>
    <n v="7"/>
    <n v="-22.22"/>
  </r>
  <r>
    <x v="11"/>
    <x v="11"/>
    <x v="0"/>
    <n v="12"/>
    <n v="4"/>
    <s v="Rolling 3 Months"/>
    <x v="1"/>
    <n v="6"/>
    <n v="-14.29"/>
    <n v="564153"/>
    <n v="21.32"/>
    <n v="41"/>
    <n v="400"/>
    <n v="6"/>
    <n v="-33.33"/>
    <n v="12"/>
    <n v="-33.33"/>
    <n v="6"/>
    <n v="-40"/>
  </r>
  <r>
    <x v="12"/>
    <x v="12"/>
    <x v="1"/>
    <n v="1"/>
    <n v="1"/>
    <s v="Rolling 3 Months"/>
    <x v="1"/>
    <n v="7"/>
    <n v="0"/>
    <n v="560000"/>
    <n v="7.69"/>
    <n v="85"/>
    <n v="5000"/>
    <n v="7"/>
    <n v="-36.36"/>
    <n v="13"/>
    <n v="-23.53"/>
    <n v="7"/>
    <n v="-46.15"/>
  </r>
  <r>
    <x v="13"/>
    <x v="13"/>
    <x v="1"/>
    <n v="2"/>
    <n v="1"/>
    <s v="Rolling 3 Months"/>
    <x v="1"/>
    <n v="8"/>
    <n v="14.29"/>
    <n v="537500"/>
    <n v="14.36"/>
    <n v="13"/>
    <n v="-3900"/>
    <n v="9"/>
    <n v="-18.18"/>
    <n v="12"/>
    <n v="-33.33"/>
    <n v="7"/>
    <n v="-50"/>
  </r>
  <r>
    <x v="14"/>
    <x v="14"/>
    <x v="1"/>
    <n v="3"/>
    <n v="1"/>
    <s v="Rolling 3 Months"/>
    <x v="1"/>
    <n v="9"/>
    <n v="-30.77"/>
    <n v="700000"/>
    <n v="40"/>
    <n v="48"/>
    <n v="3400"/>
    <n v="6"/>
    <n v="-70"/>
    <n v="11"/>
    <n v="-60.71"/>
    <n v="9"/>
    <n v="-57.14"/>
  </r>
  <r>
    <x v="15"/>
    <x v="15"/>
    <x v="1"/>
    <n v="4"/>
    <n v="2"/>
    <s v="Rolling 3 Months"/>
    <x v="1"/>
    <n v="7"/>
    <n v="-58.82"/>
    <n v="700000"/>
    <n v="44.33"/>
    <n v="18"/>
    <n v="750"/>
    <n v="7"/>
    <n v="-73.08"/>
    <n v="11"/>
    <n v="-67.650000000000006"/>
    <n v="9"/>
    <n v="-60.87"/>
  </r>
  <r>
    <x v="16"/>
    <x v="16"/>
    <x v="1"/>
    <n v="5"/>
    <n v="2"/>
    <s v="Rolling 3 Months"/>
    <x v="1"/>
    <n v="7"/>
    <n v="-58.82"/>
    <n v="598900"/>
    <n v="23.48"/>
    <n v="49"/>
    <n v="3950"/>
    <n v="10"/>
    <n v="-60"/>
    <n v="16"/>
    <n v="-46.67"/>
    <n v="9"/>
    <n v="-50"/>
  </r>
  <r>
    <x v="17"/>
    <x v="17"/>
    <x v="1"/>
    <n v="6"/>
    <n v="2"/>
    <s v="Rolling 3 Months"/>
    <x v="1"/>
    <n v="10"/>
    <n v="-9.09"/>
    <n v="477500"/>
    <n v="8.52"/>
    <n v="13"/>
    <n v="350"/>
    <n v="13"/>
    <n v="-23.53"/>
    <n v="18"/>
    <n v="-33.33"/>
    <n v="10"/>
    <n v="-28.57"/>
  </r>
  <r>
    <x v="18"/>
    <x v="18"/>
    <x v="1"/>
    <n v="7"/>
    <n v="3"/>
    <s v="Rolling 3 Months"/>
    <x v="1"/>
    <n v="10"/>
    <n v="0"/>
    <n v="477500"/>
    <n v="4.95"/>
    <n v="13"/>
    <n v="-1150"/>
    <n v="18"/>
    <n v="28.57"/>
    <n v="24"/>
    <n v="-4"/>
    <n v="10"/>
    <n v="-9.09"/>
  </r>
  <r>
    <x v="19"/>
    <x v="19"/>
    <x v="1"/>
    <n v="8"/>
    <n v="3"/>
    <s v="Rolling 3 Months"/>
    <x v="1"/>
    <n v="11"/>
    <n v="-15.38"/>
    <n v="475000"/>
    <n v="1.06"/>
    <n v="12"/>
    <n v="-700"/>
    <n v="15"/>
    <n v="7.14"/>
    <n v="24"/>
    <n v="0"/>
    <n v="13"/>
    <n v="-18.75"/>
  </r>
  <r>
    <x v="20"/>
    <x v="20"/>
    <x v="1"/>
    <n v="9"/>
    <n v="3"/>
    <s v="Rolling 3 Months"/>
    <x v="1"/>
    <n v="8"/>
    <n v="-50"/>
    <n v="477250"/>
    <n v="11.83"/>
    <n v="18"/>
    <n v="-600"/>
    <n v="13"/>
    <n v="18.18"/>
    <n v="21"/>
    <n v="5"/>
    <n v="13"/>
    <n v="8.33"/>
  </r>
  <r>
    <x v="21"/>
    <x v="21"/>
    <x v="1"/>
    <n v="10"/>
    <n v="4"/>
    <s v="Rolling 3 Months"/>
    <x v="1"/>
    <n v="14"/>
    <n v="0"/>
    <n v="508750"/>
    <n v="18.45"/>
    <n v="29"/>
    <n v="700"/>
    <n v="9"/>
    <n v="80"/>
    <n v="21"/>
    <n v="23.53"/>
    <n v="14"/>
    <n v="40"/>
  </r>
  <r>
    <x v="22"/>
    <x v="22"/>
    <x v="1"/>
    <n v="11"/>
    <n v="4"/>
    <s v="Rolling 3 Months"/>
    <x v="1"/>
    <n v="12"/>
    <n v="20"/>
    <n v="486750"/>
    <n v="17.29"/>
    <n v="47"/>
    <n v="2000"/>
    <n v="14"/>
    <n v="600"/>
    <n v="21"/>
    <n v="110"/>
    <n v="9"/>
    <n v="28.57"/>
  </r>
  <r>
    <x v="23"/>
    <x v="23"/>
    <x v="1"/>
    <n v="12"/>
    <n v="4"/>
    <s v="Rolling 3 Months"/>
    <x v="1"/>
    <n v="10"/>
    <n v="66.67"/>
    <n v="486750"/>
    <n v="-13.72"/>
    <n v="25"/>
    <n v="-1600"/>
    <n v="16"/>
    <n v="166.67"/>
    <n v="21"/>
    <n v="75"/>
    <n v="8"/>
    <n v="33.33"/>
  </r>
  <r>
    <x v="24"/>
    <x v="24"/>
    <x v="2"/>
    <n v="1"/>
    <n v="1"/>
    <s v="Rolling 3 Months"/>
    <x v="1"/>
    <n v="5"/>
    <n v="-28.57"/>
    <n v="565000"/>
    <n v="0.89"/>
    <n v="11"/>
    <n v="-7400"/>
    <n v="18"/>
    <n v="157.13999999999999"/>
    <n v="24"/>
    <n v="84.62"/>
    <n v="10"/>
    <n v="42.86"/>
  </r>
  <r>
    <x v="25"/>
    <x v="25"/>
    <x v="2"/>
    <n v="2"/>
    <n v="1"/>
    <s v="Rolling 3 Months"/>
    <x v="1"/>
    <n v="8"/>
    <n v="0"/>
    <n v="557500"/>
    <n v="3.72"/>
    <n v="25"/>
    <n v="1150"/>
    <n v="10"/>
    <n v="11.11"/>
    <n v="23"/>
    <n v="91.67"/>
    <n v="12"/>
    <n v="71.430000000000007"/>
  </r>
  <r>
    <x v="26"/>
    <x v="26"/>
    <x v="2"/>
    <n v="3"/>
    <n v="1"/>
    <s v="Rolling 3 Months"/>
    <x v="1"/>
    <n v="12"/>
    <n v="33.33"/>
    <n v="537500"/>
    <n v="-23.21"/>
    <n v="47"/>
    <n v="-50"/>
    <n v="8"/>
    <n v="33.33"/>
    <n v="21"/>
    <n v="90.91"/>
    <n v="11"/>
    <n v="22.22"/>
  </r>
  <r>
    <x v="27"/>
    <x v="27"/>
    <x v="2"/>
    <n v="4"/>
    <n v="2"/>
    <s v="Rolling 3 Months"/>
    <x v="1"/>
    <n v="11"/>
    <n v="57.14"/>
    <n v="525000"/>
    <n v="-25"/>
    <n v="52"/>
    <n v="3450"/>
    <n v="4"/>
    <n v="-42.86"/>
    <n v="18"/>
    <n v="63.64"/>
    <n v="8"/>
    <n v="-11.11"/>
  </r>
  <r>
    <x v="28"/>
    <x v="28"/>
    <x v="2"/>
    <n v="5"/>
    <n v="2"/>
    <s v="Rolling 3 Months"/>
    <x v="1"/>
    <n v="9"/>
    <n v="28.57"/>
    <n v="500000"/>
    <n v="-16.510000000000002"/>
    <n v="98"/>
    <n v="4900"/>
    <n v="9"/>
    <n v="-10"/>
    <n v="20"/>
    <n v="25"/>
    <n v="10"/>
    <n v="11.11"/>
  </r>
  <r>
    <x v="29"/>
    <x v="29"/>
    <x v="2"/>
    <n v="6"/>
    <n v="2"/>
    <s v="Rolling 3 Months"/>
    <x v="1"/>
    <n v="6"/>
    <n v="-40"/>
    <n v="618160"/>
    <n v="29.46"/>
    <n v="72"/>
    <n v="5900"/>
    <n v="7"/>
    <n v="-46.15"/>
    <n v="17"/>
    <n v="-5.56"/>
    <n v="9"/>
    <n v="-10"/>
  </r>
  <r>
    <x v="30"/>
    <x v="30"/>
    <x v="2"/>
    <n v="7"/>
    <n v="3"/>
    <s v="Rolling 3 Months"/>
    <x v="1"/>
    <n v="6"/>
    <n v="-40"/>
    <n v="578500"/>
    <n v="21.15"/>
    <n v="46"/>
    <n v="3300"/>
    <n v="9"/>
    <n v="-50"/>
    <n v="17"/>
    <n v="-29.17"/>
    <n v="9"/>
    <n v="-10"/>
  </r>
  <r>
    <x v="31"/>
    <x v="31"/>
    <x v="2"/>
    <n v="8"/>
    <n v="3"/>
    <s v="Rolling 3 Months"/>
    <x v="1"/>
    <n v="7"/>
    <n v="-36.36"/>
    <n v="480000"/>
    <n v="1.05"/>
    <n v="14"/>
    <n v="200"/>
    <n v="12"/>
    <n v="-20"/>
    <n v="21"/>
    <n v="-12.5"/>
    <n v="8"/>
    <n v="-38.46"/>
  </r>
  <r>
    <x v="32"/>
    <x v="32"/>
    <x v="2"/>
    <n v="9"/>
    <n v="3"/>
    <s v="Rolling 3 Months"/>
    <x v="1"/>
    <n v="9"/>
    <n v="12.5"/>
    <n v="480000"/>
    <n v="0.57999999999999996"/>
    <n v="13"/>
    <n v="-450"/>
    <n v="14"/>
    <n v="7.69"/>
    <n v="21"/>
    <n v="0"/>
    <n v="10"/>
    <n v="-23.08"/>
  </r>
  <r>
    <x v="33"/>
    <x v="33"/>
    <x v="2"/>
    <n v="10"/>
    <n v="4"/>
    <s v="Rolling 3 Months"/>
    <x v="1"/>
    <n v="9"/>
    <n v="-35.71"/>
    <n v="442000"/>
    <n v="-13.12"/>
    <n v="13"/>
    <n v="-1600"/>
    <n v="12"/>
    <n v="33.33"/>
    <n v="21"/>
    <n v="0"/>
    <n v="9"/>
    <n v="-35.71"/>
  </r>
  <r>
    <x v="34"/>
    <x v="34"/>
    <x v="2"/>
    <n v="11"/>
    <n v="4"/>
    <s v="Rolling 3 Months"/>
    <x v="1"/>
    <n v="11"/>
    <n v="-8.33"/>
    <n v="442000"/>
    <n v="-9.19"/>
    <n v="13"/>
    <n v="-3400"/>
    <n v="5"/>
    <n v="-64.290000000000006"/>
    <n v="15"/>
    <n v="-28.57"/>
    <n v="8"/>
    <n v="-11.11"/>
  </r>
  <r>
    <x v="35"/>
    <x v="35"/>
    <x v="2"/>
    <n v="12"/>
    <n v="4"/>
    <s v="Rolling 3 Months"/>
    <x v="1"/>
    <n v="9"/>
    <n v="-10"/>
    <n v="442000"/>
    <n v="-9.19"/>
    <n v="34"/>
    <n v="900"/>
    <n v="4"/>
    <n v="-75"/>
    <n v="12"/>
    <n v="-42.86"/>
    <n v="8"/>
    <n v="0"/>
  </r>
  <r>
    <x v="36"/>
    <x v="36"/>
    <x v="3"/>
    <n v="1"/>
    <n v="1"/>
    <s v="Rolling 3 Months"/>
    <x v="1"/>
    <n v="10"/>
    <n v="100"/>
    <n v="490000"/>
    <n v="-13.27"/>
    <n v="81"/>
    <n v="7000"/>
    <n v="6"/>
    <n v="-66.67"/>
    <n v="12"/>
    <n v="-50"/>
    <n v="11"/>
    <n v="10"/>
  </r>
  <r>
    <x v="37"/>
    <x v="37"/>
    <x v="3"/>
    <n v="2"/>
    <n v="1"/>
    <s v="Rolling 3 Months"/>
    <x v="1"/>
    <n v="12"/>
    <n v="53.53"/>
    <n v="529726"/>
    <n v="-4.9800000000000004"/>
    <n v="104"/>
    <n v="7965.72"/>
    <n v="8"/>
    <n v="-19.36"/>
    <n v="12"/>
    <n v="-47.53"/>
    <n v="15"/>
    <n v="26.08"/>
  </r>
  <r>
    <x v="0"/>
    <x v="0"/>
    <x v="0"/>
    <n v="1"/>
    <n v="1"/>
    <s v="Rolling 3 Months"/>
    <x v="2"/>
    <n v="10"/>
    <n v="-37.5"/>
    <n v="343500"/>
    <n v="-20.62"/>
    <n v="25"/>
    <n v="1650"/>
    <n v="6"/>
    <n v="-79.31"/>
    <n v="11"/>
    <n v="-65.63"/>
    <n v="9"/>
    <n v="-62.5"/>
  </r>
  <r>
    <x v="1"/>
    <x v="1"/>
    <x v="0"/>
    <n v="2"/>
    <n v="1"/>
    <s v="Rolling 3 Months"/>
    <x v="2"/>
    <n v="7"/>
    <n v="-61.11"/>
    <n v="365000"/>
    <n v="-15.66"/>
    <n v="18"/>
    <n v="1000"/>
    <n v="6"/>
    <n v="-81.819999999999993"/>
    <n v="12"/>
    <n v="-65.709999999999994"/>
    <n v="9"/>
    <n v="-67.86"/>
  </r>
  <r>
    <x v="2"/>
    <x v="2"/>
    <x v="0"/>
    <n v="3"/>
    <n v="1"/>
    <s v="Rolling 3 Months"/>
    <x v="2"/>
    <n v="10"/>
    <n v="-52.38"/>
    <n v="380500"/>
    <n v="-5.58"/>
    <n v="18"/>
    <n v="950"/>
    <n v="6"/>
    <n v="-75"/>
    <n v="10"/>
    <n v="-70.59"/>
    <n v="8"/>
    <n v="-68"/>
  </r>
  <r>
    <x v="3"/>
    <x v="3"/>
    <x v="0"/>
    <n v="4"/>
    <n v="2"/>
    <s v="Rolling 3 Months"/>
    <x v="2"/>
    <n v="6"/>
    <n v="-71.430000000000007"/>
    <n v="405500"/>
    <n v="3.31"/>
    <n v="76"/>
    <n v="6150"/>
    <n v="8"/>
    <n v="-57.89"/>
    <n v="12"/>
    <n v="-63.64"/>
    <n v="9"/>
    <n v="-55"/>
  </r>
  <r>
    <x v="4"/>
    <x v="4"/>
    <x v="0"/>
    <n v="5"/>
    <n v="2"/>
    <s v="Rolling 3 Months"/>
    <x v="2"/>
    <n v="8"/>
    <n v="-52.94"/>
    <n v="418000"/>
    <n v="11.02"/>
    <n v="10"/>
    <n v="-750"/>
    <n v="13"/>
    <n v="-27.78"/>
    <n v="14"/>
    <n v="-53.33"/>
    <n v="10"/>
    <n v="-28.57"/>
  </r>
  <r>
    <x v="5"/>
    <x v="5"/>
    <x v="0"/>
    <n v="6"/>
    <n v="2"/>
    <s v="Rolling 3 Months"/>
    <x v="2"/>
    <n v="8"/>
    <n v="-38.46"/>
    <n v="460000"/>
    <n v="27.78"/>
    <n v="9"/>
    <n v="-1150"/>
    <n v="18"/>
    <n v="12.5"/>
    <n v="19"/>
    <n v="-29.63"/>
    <n v="11"/>
    <n v="-8.33"/>
  </r>
  <r>
    <x v="6"/>
    <x v="6"/>
    <x v="0"/>
    <n v="7"/>
    <n v="3"/>
    <s v="Rolling 3 Months"/>
    <x v="2"/>
    <n v="11"/>
    <n v="22.22"/>
    <n v="440000"/>
    <n v="21.21"/>
    <n v="9"/>
    <n v="-4700"/>
    <n v="28"/>
    <n v="115.38"/>
    <n v="29"/>
    <n v="20.83"/>
    <n v="10"/>
    <n v="0"/>
  </r>
  <r>
    <x v="7"/>
    <x v="7"/>
    <x v="0"/>
    <n v="8"/>
    <n v="3"/>
    <s v="Rolling 3 Months"/>
    <x v="2"/>
    <n v="11"/>
    <n v="57.14"/>
    <n v="410000"/>
    <n v="0"/>
    <n v="9"/>
    <n v="-4700"/>
    <n v="24"/>
    <n v="84.62"/>
    <n v="30"/>
    <n v="25"/>
    <n v="15"/>
    <n v="25"/>
  </r>
  <r>
    <x v="8"/>
    <x v="8"/>
    <x v="0"/>
    <n v="9"/>
    <n v="3"/>
    <s v="Rolling 3 Months"/>
    <x v="2"/>
    <n v="10"/>
    <n v="0"/>
    <n v="417500"/>
    <n v="0"/>
    <n v="18"/>
    <n v="-4250"/>
    <n v="18"/>
    <n v="50"/>
    <n v="25"/>
    <n v="8.6999999999999993"/>
    <n v="12"/>
    <n v="-29.41"/>
  </r>
  <r>
    <x v="9"/>
    <x v="9"/>
    <x v="0"/>
    <n v="10"/>
    <n v="4"/>
    <s v="Rolling 3 Months"/>
    <x v="2"/>
    <n v="11"/>
    <n v="-15.38"/>
    <n v="469000"/>
    <n v="22.77"/>
    <n v="60"/>
    <n v="1200"/>
    <n v="6"/>
    <n v="-45.45"/>
    <n v="21"/>
    <n v="-8.6999999999999993"/>
    <n v="13"/>
    <n v="-23.53"/>
  </r>
  <r>
    <x v="10"/>
    <x v="10"/>
    <x v="0"/>
    <n v="11"/>
    <n v="4"/>
    <s v="Rolling 3 Months"/>
    <x v="2"/>
    <n v="10"/>
    <n v="-41.18"/>
    <n v="479500"/>
    <n v="35.07"/>
    <n v="72"/>
    <n v="1650"/>
    <n v="6"/>
    <n v="-25"/>
    <n v="17"/>
    <n v="-15"/>
    <n v="9"/>
    <n v="-43.75"/>
  </r>
  <r>
    <x v="11"/>
    <x v="11"/>
    <x v="0"/>
    <n v="12"/>
    <n v="4"/>
    <s v="Rolling 3 Months"/>
    <x v="2"/>
    <n v="10"/>
    <n v="-16.670000000000002"/>
    <n v="479500"/>
    <n v="38.99"/>
    <n v="66"/>
    <n v="800"/>
    <n v="9"/>
    <n v="50"/>
    <n v="16"/>
    <n v="23.08"/>
    <n v="12"/>
    <n v="0"/>
  </r>
  <r>
    <x v="12"/>
    <x v="12"/>
    <x v="1"/>
    <n v="1"/>
    <n v="1"/>
    <s v="Rolling 3 Months"/>
    <x v="2"/>
    <n v="10"/>
    <n v="0"/>
    <n v="447500"/>
    <n v="30.28"/>
    <n v="19"/>
    <n v="-600"/>
    <n v="13"/>
    <n v="116.67"/>
    <n v="16"/>
    <n v="45.45"/>
    <n v="9"/>
    <n v="0"/>
  </r>
  <r>
    <x v="13"/>
    <x v="13"/>
    <x v="1"/>
    <n v="2"/>
    <n v="1"/>
    <s v="Rolling 3 Months"/>
    <x v="2"/>
    <n v="8"/>
    <n v="14.29"/>
    <n v="407500"/>
    <n v="11.64"/>
    <n v="14"/>
    <n v="-450"/>
    <n v="15"/>
    <n v="150"/>
    <n v="20"/>
    <n v="66.67"/>
    <n v="16"/>
    <n v="77.78"/>
  </r>
  <r>
    <x v="14"/>
    <x v="14"/>
    <x v="1"/>
    <n v="3"/>
    <n v="1"/>
    <s v="Rolling 3 Months"/>
    <x v="2"/>
    <n v="14"/>
    <n v="40"/>
    <n v="432500"/>
    <n v="13.67"/>
    <n v="16"/>
    <n v="-150"/>
    <n v="15"/>
    <n v="150"/>
    <n v="19"/>
    <n v="90"/>
    <n v="17"/>
    <n v="112.5"/>
  </r>
  <r>
    <x v="15"/>
    <x v="15"/>
    <x v="1"/>
    <n v="4"/>
    <n v="2"/>
    <s v="Rolling 3 Months"/>
    <x v="2"/>
    <n v="15"/>
    <n v="150"/>
    <n v="405000"/>
    <n v="-0.12"/>
    <n v="16"/>
    <n v="-5950"/>
    <n v="13"/>
    <n v="62.5"/>
    <n v="22"/>
    <n v="83.33"/>
    <n v="18"/>
    <n v="100"/>
  </r>
  <r>
    <x v="16"/>
    <x v="16"/>
    <x v="1"/>
    <n v="5"/>
    <n v="2"/>
    <s v="Rolling 3 Months"/>
    <x v="2"/>
    <n v="16"/>
    <n v="100"/>
    <n v="417500"/>
    <n v="-0.12"/>
    <n v="18"/>
    <n v="800"/>
    <n v="9"/>
    <n v="-30.77"/>
    <n v="15"/>
    <n v="7.14"/>
    <n v="10"/>
    <n v="0"/>
  </r>
  <r>
    <x v="17"/>
    <x v="17"/>
    <x v="1"/>
    <n v="6"/>
    <n v="2"/>
    <s v="Rolling 3 Months"/>
    <x v="2"/>
    <n v="9"/>
    <n v="12.5"/>
    <n v="400000"/>
    <n v="-13.04"/>
    <n v="26"/>
    <n v="1750"/>
    <n v="10"/>
    <n v="-44.44"/>
    <n v="14"/>
    <n v="-26.32"/>
    <n v="8"/>
    <n v="-27.27"/>
  </r>
  <r>
    <x v="18"/>
    <x v="18"/>
    <x v="1"/>
    <n v="7"/>
    <n v="3"/>
    <s v="Rolling 3 Months"/>
    <x v="2"/>
    <n v="7"/>
    <n v="-36.36"/>
    <n v="395000"/>
    <n v="-10.23"/>
    <n v="22"/>
    <n v="1300"/>
    <n v="15"/>
    <n v="-46.43"/>
    <n v="17"/>
    <n v="-41.38"/>
    <n v="10"/>
    <n v="0"/>
  </r>
  <r>
    <x v="19"/>
    <x v="19"/>
    <x v="1"/>
    <n v="8"/>
    <n v="3"/>
    <s v="Rolling 3 Months"/>
    <x v="2"/>
    <n v="11"/>
    <n v="0"/>
    <n v="390000"/>
    <n v="-4.88"/>
    <n v="22"/>
    <n v="1300"/>
    <n v="15"/>
    <n v="-37.5"/>
    <n v="18"/>
    <n v="-40"/>
    <n v="13"/>
    <n v="-13.33"/>
  </r>
  <r>
    <x v="20"/>
    <x v="20"/>
    <x v="1"/>
    <n v="9"/>
    <n v="3"/>
    <s v="Rolling 3 Months"/>
    <x v="2"/>
    <n v="13"/>
    <n v="30"/>
    <n v="395000"/>
    <n v="-5.39"/>
    <n v="14"/>
    <n v="-350"/>
    <n v="14"/>
    <n v="-22.22"/>
    <n v="18"/>
    <n v="-28"/>
    <n v="12"/>
    <n v="0"/>
  </r>
  <r>
    <x v="21"/>
    <x v="21"/>
    <x v="1"/>
    <n v="10"/>
    <n v="4"/>
    <s v="Rolling 3 Months"/>
    <x v="2"/>
    <n v="12"/>
    <n v="9.09"/>
    <n v="415000"/>
    <n v="-11.51"/>
    <n v="20"/>
    <n v="-4050"/>
    <n v="12"/>
    <n v="100"/>
    <n v="18"/>
    <n v="-14.29"/>
    <n v="11"/>
    <n v="-15.38"/>
  </r>
  <r>
    <x v="22"/>
    <x v="22"/>
    <x v="1"/>
    <n v="11"/>
    <n v="4"/>
    <s v="Rolling 3 Months"/>
    <x v="2"/>
    <n v="9"/>
    <n v="-10"/>
    <n v="420000"/>
    <n v="-12.41"/>
    <n v="15"/>
    <n v="-5650"/>
    <n v="14"/>
    <n v="133.33000000000001"/>
    <n v="18"/>
    <n v="5.88"/>
    <n v="10"/>
    <n v="11.11"/>
  </r>
  <r>
    <x v="23"/>
    <x v="23"/>
    <x v="1"/>
    <n v="12"/>
    <n v="4"/>
    <s v="Rolling 3 Months"/>
    <x v="2"/>
    <n v="7"/>
    <n v="-30"/>
    <n v="450000"/>
    <n v="-6.15"/>
    <n v="14"/>
    <n v="-5150"/>
    <n v="17"/>
    <n v="88.89"/>
    <n v="22"/>
    <n v="37.5"/>
    <n v="11"/>
    <n v="-8.33"/>
  </r>
  <r>
    <x v="24"/>
    <x v="24"/>
    <x v="2"/>
    <n v="1"/>
    <n v="1"/>
    <s v="Rolling 3 Months"/>
    <x v="2"/>
    <n v="10"/>
    <n v="0"/>
    <n v="414000"/>
    <n v="-7.49"/>
    <n v="38"/>
    <n v="1850"/>
    <n v="17"/>
    <n v="30.77"/>
    <n v="24"/>
    <n v="50"/>
    <n v="11"/>
    <n v="22.22"/>
  </r>
  <r>
    <x v="25"/>
    <x v="25"/>
    <x v="2"/>
    <n v="2"/>
    <n v="1"/>
    <s v="Rolling 3 Months"/>
    <x v="2"/>
    <n v="11"/>
    <n v="37.5"/>
    <n v="429000"/>
    <n v="5.28"/>
    <n v="26"/>
    <n v="1250"/>
    <n v="17"/>
    <n v="13.33"/>
    <n v="24"/>
    <n v="20"/>
    <n v="14"/>
    <n v="-12.5"/>
  </r>
  <r>
    <x v="26"/>
    <x v="26"/>
    <x v="2"/>
    <n v="3"/>
    <n v="1"/>
    <s v="Rolling 3 Months"/>
    <x v="2"/>
    <n v="13"/>
    <n v="-7.14"/>
    <n v="429000"/>
    <n v="-0.81"/>
    <n v="30"/>
    <n v="1400"/>
    <n v="13"/>
    <n v="-13.33"/>
    <n v="23"/>
    <n v="21.05"/>
    <n v="12"/>
    <n v="-29.41"/>
  </r>
  <r>
    <x v="27"/>
    <x v="27"/>
    <x v="2"/>
    <n v="4"/>
    <n v="2"/>
    <s v="Rolling 3 Months"/>
    <x v="2"/>
    <n v="10"/>
    <n v="-33.33"/>
    <n v="457500"/>
    <n v="12.96"/>
    <n v="16"/>
    <n v="-50"/>
    <n v="16"/>
    <n v="23.08"/>
    <n v="29"/>
    <n v="31.82"/>
    <n v="8"/>
    <n v="-55.56"/>
  </r>
  <r>
    <x v="28"/>
    <x v="28"/>
    <x v="2"/>
    <n v="5"/>
    <n v="2"/>
    <s v="Rolling 3 Months"/>
    <x v="2"/>
    <n v="10"/>
    <n v="-37.5"/>
    <n v="450000"/>
    <n v="7.78"/>
    <n v="19"/>
    <n v="150"/>
    <n v="16"/>
    <n v="77.78"/>
    <n v="24"/>
    <n v="60"/>
    <n v="5"/>
    <n v="-50"/>
  </r>
  <r>
    <x v="29"/>
    <x v="29"/>
    <x v="2"/>
    <n v="6"/>
    <n v="2"/>
    <s v="Rolling 3 Months"/>
    <x v="2"/>
    <n v="10"/>
    <n v="11.11"/>
    <n v="417500"/>
    <n v="4.37"/>
    <n v="26"/>
    <n v="0"/>
    <n v="20"/>
    <n v="100"/>
    <n v="28"/>
    <n v="100"/>
    <n v="8"/>
    <n v="0"/>
  </r>
  <r>
    <x v="30"/>
    <x v="30"/>
    <x v="2"/>
    <n v="7"/>
    <n v="3"/>
    <s v="Rolling 3 Months"/>
    <x v="2"/>
    <n v="8"/>
    <n v="14.29"/>
    <n v="402500"/>
    <n v="1.9"/>
    <n v="30"/>
    <n v="750"/>
    <n v="15"/>
    <n v="0"/>
    <n v="31"/>
    <n v="82.35"/>
    <n v="12"/>
    <n v="20"/>
  </r>
  <r>
    <x v="31"/>
    <x v="31"/>
    <x v="2"/>
    <n v="8"/>
    <n v="3"/>
    <s v="Rolling 3 Months"/>
    <x v="2"/>
    <n v="11"/>
    <n v="0"/>
    <n v="436000"/>
    <n v="11.79"/>
    <n v="30"/>
    <n v="800"/>
    <n v="12"/>
    <n v="-20"/>
    <n v="29"/>
    <n v="61.11"/>
    <n v="13"/>
    <n v="0"/>
  </r>
  <r>
    <x v="32"/>
    <x v="32"/>
    <x v="2"/>
    <n v="9"/>
    <n v="3"/>
    <s v="Rolling 3 Months"/>
    <x v="2"/>
    <n v="10"/>
    <n v="-23.08"/>
    <n v="448000"/>
    <n v="13.42"/>
    <n v="26"/>
    <n v="1150"/>
    <n v="8"/>
    <n v="-42.86"/>
    <n v="26"/>
    <n v="44.44"/>
    <n v="12"/>
    <n v="0"/>
  </r>
  <r>
    <x v="33"/>
    <x v="33"/>
    <x v="2"/>
    <n v="10"/>
    <n v="4"/>
    <s v="Rolling 3 Months"/>
    <x v="2"/>
    <n v="11"/>
    <n v="-8.33"/>
    <n v="460000"/>
    <n v="10.84"/>
    <n v="26"/>
    <n v="650"/>
    <n v="4"/>
    <n v="-66.67"/>
    <n v="21"/>
    <n v="16.670000000000002"/>
    <n v="10"/>
    <n v="-9.09"/>
  </r>
  <r>
    <x v="34"/>
    <x v="34"/>
    <x v="2"/>
    <n v="11"/>
    <n v="4"/>
    <s v="Rolling 3 Months"/>
    <x v="2"/>
    <n v="6"/>
    <n v="-33.33"/>
    <n v="402500"/>
    <n v="-4.17"/>
    <n v="60"/>
    <n v="4450"/>
    <n v="7"/>
    <n v="-50"/>
    <n v="20"/>
    <n v="11.11"/>
    <n v="8"/>
    <n v="-20"/>
  </r>
  <r>
    <x v="35"/>
    <x v="35"/>
    <x v="2"/>
    <n v="12"/>
    <n v="4"/>
    <s v="Rolling 3 Months"/>
    <x v="2"/>
    <n v="5"/>
    <n v="-28.57"/>
    <n v="460000"/>
    <n v="2.2200000000000002"/>
    <n v="130"/>
    <n v="11550"/>
    <n v="10"/>
    <n v="-41.18"/>
    <n v="20"/>
    <n v="-9.09"/>
    <n v="9"/>
    <n v="-18.18"/>
  </r>
  <r>
    <x v="36"/>
    <x v="36"/>
    <x v="3"/>
    <n v="1"/>
    <n v="1"/>
    <s v="Rolling 3 Months"/>
    <x v="2"/>
    <n v="8"/>
    <n v="-20"/>
    <n v="442500"/>
    <n v="6.88"/>
    <n v="65"/>
    <n v="2750"/>
    <n v="16"/>
    <n v="-5.88"/>
    <n v="21"/>
    <n v="-12.5"/>
    <n v="10"/>
    <n v="-9.09"/>
  </r>
  <r>
    <x v="37"/>
    <x v="37"/>
    <x v="3"/>
    <n v="2"/>
    <n v="1"/>
    <s v="Rolling 3 Months"/>
    <x v="2"/>
    <n v="9"/>
    <n v="-16.25"/>
    <n v="399794"/>
    <n v="-6.81"/>
    <n v="36"/>
    <n v="1005.44"/>
    <n v="17"/>
    <n v="0.8"/>
    <n v="23"/>
    <n v="-3.61"/>
    <n v="13"/>
    <n v="-6.34"/>
  </r>
  <r>
    <x v="0"/>
    <x v="0"/>
    <x v="0"/>
    <n v="1"/>
    <n v="1"/>
    <s v="Rolling 3 Months"/>
    <x v="3"/>
    <n v="76"/>
    <n v="-29.63"/>
    <n v="450000"/>
    <n v="2.16"/>
    <n v="57"/>
    <n v="3850"/>
    <n v="90"/>
    <n v="-36.619999999999997"/>
    <n v="177"/>
    <n v="-5.85"/>
    <n v="107"/>
    <n v="-24.11"/>
  </r>
  <r>
    <x v="1"/>
    <x v="1"/>
    <x v="0"/>
    <n v="2"/>
    <n v="1"/>
    <s v="Rolling 3 Months"/>
    <x v="3"/>
    <n v="93"/>
    <n v="-27.91"/>
    <n v="456250"/>
    <n v="0.83"/>
    <n v="42"/>
    <n v="2900"/>
    <n v="112"/>
    <n v="-32.93"/>
    <n v="194"/>
    <n v="-5.83"/>
    <n v="126"/>
    <n v="-14.86"/>
  </r>
  <r>
    <x v="2"/>
    <x v="2"/>
    <x v="0"/>
    <n v="3"/>
    <n v="1"/>
    <s v="Rolling 3 Months"/>
    <x v="3"/>
    <n v="110"/>
    <n v="-26.17"/>
    <n v="460000"/>
    <n v="0"/>
    <n v="31"/>
    <n v="1700"/>
    <n v="114"/>
    <n v="-35.96"/>
    <n v="192"/>
    <n v="-12.73"/>
    <n v="127"/>
    <n v="-11.81"/>
  </r>
  <r>
    <x v="3"/>
    <x v="3"/>
    <x v="0"/>
    <n v="4"/>
    <n v="2"/>
    <s v="Rolling 3 Months"/>
    <x v="3"/>
    <n v="100"/>
    <n v="-24.24"/>
    <n v="457750"/>
    <n v="-4.6399999999999997"/>
    <n v="23"/>
    <n v="900"/>
    <n v="122"/>
    <n v="-26.95"/>
    <n v="177"/>
    <n v="-16.510000000000002"/>
    <n v="114"/>
    <n v="-13.64"/>
  </r>
  <r>
    <x v="4"/>
    <x v="4"/>
    <x v="0"/>
    <n v="5"/>
    <n v="2"/>
    <s v="Rolling 3 Months"/>
    <x v="3"/>
    <n v="96"/>
    <n v="-20.66"/>
    <n v="459000"/>
    <n v="-5.82"/>
    <n v="23"/>
    <n v="750"/>
    <n v="118"/>
    <n v="-24.84"/>
    <n v="181"/>
    <n v="-16.97"/>
    <n v="107"/>
    <n v="-4.46"/>
  </r>
  <r>
    <x v="5"/>
    <x v="5"/>
    <x v="0"/>
    <n v="6"/>
    <n v="2"/>
    <s v="Rolling 3 Months"/>
    <x v="3"/>
    <n v="96"/>
    <n v="-13.51"/>
    <n v="450000"/>
    <n v="-5.0599999999999996"/>
    <n v="20"/>
    <n v="-400"/>
    <n v="108"/>
    <n v="-28"/>
    <n v="167"/>
    <n v="-28.94"/>
    <n v="115"/>
    <n v="-1.71"/>
  </r>
  <r>
    <x v="6"/>
    <x v="6"/>
    <x v="0"/>
    <n v="7"/>
    <n v="3"/>
    <s v="Rolling 3 Months"/>
    <x v="3"/>
    <n v="106"/>
    <n v="-7.02"/>
    <n v="473500"/>
    <n v="3.05"/>
    <n v="28"/>
    <n v="-550"/>
    <n v="118"/>
    <n v="-23.87"/>
    <n v="189"/>
    <n v="-23.79"/>
    <n v="120"/>
    <n v="3.45"/>
  </r>
  <r>
    <x v="7"/>
    <x v="7"/>
    <x v="0"/>
    <n v="8"/>
    <n v="3"/>
    <s v="Rolling 3 Months"/>
    <x v="3"/>
    <n v="106"/>
    <n v="-3.64"/>
    <n v="480000"/>
    <n v="9.09"/>
    <n v="34"/>
    <n v="-550"/>
    <n v="116"/>
    <n v="-15.94"/>
    <n v="177"/>
    <n v="-27.46"/>
    <n v="115"/>
    <n v="3.6"/>
  </r>
  <r>
    <x v="8"/>
    <x v="8"/>
    <x v="0"/>
    <n v="9"/>
    <n v="3"/>
    <s v="Rolling 3 Months"/>
    <x v="3"/>
    <n v="87"/>
    <n v="-4.4000000000000004"/>
    <n v="489990"/>
    <n v="11.87"/>
    <n v="38"/>
    <n v="-950"/>
    <n v="108"/>
    <n v="-5.26"/>
    <n v="158"/>
    <n v="-29.78"/>
    <n v="96"/>
    <n v="1.05"/>
  </r>
  <r>
    <x v="9"/>
    <x v="9"/>
    <x v="0"/>
    <n v="10"/>
    <n v="4"/>
    <s v="Rolling 3 Months"/>
    <x v="3"/>
    <n v="72"/>
    <n v="-15.29"/>
    <n v="500000"/>
    <n v="13.64"/>
    <n v="36"/>
    <n v="-1300"/>
    <n v="76"/>
    <n v="-1.3"/>
    <n v="147"/>
    <n v="-23.83"/>
    <n v="80"/>
    <n v="-1.23"/>
  </r>
  <r>
    <x v="10"/>
    <x v="10"/>
    <x v="0"/>
    <n v="11"/>
    <n v="4"/>
    <s v="Rolling 3 Months"/>
    <x v="3"/>
    <n v="70"/>
    <n v="9.3800000000000008"/>
    <n v="495000"/>
    <n v="10"/>
    <n v="49"/>
    <n v="650"/>
    <n v="83"/>
    <n v="36.07"/>
    <n v="156"/>
    <n v="-4.88"/>
    <n v="83"/>
    <n v="25.76"/>
  </r>
  <r>
    <x v="11"/>
    <x v="11"/>
    <x v="0"/>
    <n v="12"/>
    <n v="4"/>
    <s v="Rolling 3 Months"/>
    <x v="3"/>
    <n v="81"/>
    <n v="35"/>
    <n v="485000"/>
    <n v="7.78"/>
    <n v="45"/>
    <n v="-2700"/>
    <n v="101"/>
    <n v="40.28"/>
    <n v="167"/>
    <n v="-4.0199999999999996"/>
    <n v="93"/>
    <n v="13.41"/>
  </r>
  <r>
    <x v="12"/>
    <x v="12"/>
    <x v="1"/>
    <n v="1"/>
    <n v="1"/>
    <s v="Rolling 3 Months"/>
    <x v="3"/>
    <n v="84"/>
    <n v="10.53"/>
    <n v="472500"/>
    <n v="5"/>
    <n v="42"/>
    <n v="-1500"/>
    <n v="119"/>
    <n v="32.22"/>
    <n v="176"/>
    <n v="-0.56000000000000005"/>
    <n v="97"/>
    <n v="-9.35"/>
  </r>
  <r>
    <x v="13"/>
    <x v="13"/>
    <x v="1"/>
    <n v="2"/>
    <n v="1"/>
    <s v="Rolling 3 Months"/>
    <x v="3"/>
    <n v="81"/>
    <n v="-12.9"/>
    <n v="480000"/>
    <n v="5.21"/>
    <n v="30"/>
    <n v="-1200"/>
    <n v="122"/>
    <n v="8.93"/>
    <n v="173"/>
    <n v="-10.82"/>
    <n v="99"/>
    <n v="-21.43"/>
  </r>
  <r>
    <x v="14"/>
    <x v="14"/>
    <x v="1"/>
    <n v="3"/>
    <n v="1"/>
    <s v="Rolling 3 Months"/>
    <x v="3"/>
    <n v="88"/>
    <n v="-20"/>
    <n v="480000"/>
    <n v="4.3499999999999996"/>
    <n v="23"/>
    <n v="-800"/>
    <n v="124"/>
    <n v="8.77"/>
    <n v="176"/>
    <n v="-8.33"/>
    <n v="104"/>
    <n v="-18.11"/>
  </r>
  <r>
    <x v="15"/>
    <x v="15"/>
    <x v="1"/>
    <n v="4"/>
    <n v="2"/>
    <s v="Rolling 3 Months"/>
    <x v="3"/>
    <n v="92"/>
    <n v="-8"/>
    <n v="473490"/>
    <n v="3.44"/>
    <n v="24"/>
    <n v="100"/>
    <n v="118"/>
    <n v="-3.28"/>
    <n v="180"/>
    <n v="1.69"/>
    <n v="103"/>
    <n v="-9.65"/>
  </r>
  <r>
    <x v="16"/>
    <x v="16"/>
    <x v="1"/>
    <n v="5"/>
    <n v="2"/>
    <s v="Rolling 3 Months"/>
    <x v="3"/>
    <n v="96"/>
    <n v="0"/>
    <n v="464995"/>
    <n v="1.31"/>
    <n v="28"/>
    <n v="550"/>
    <n v="120"/>
    <n v="1.69"/>
    <n v="191"/>
    <n v="5.52"/>
    <n v="110"/>
    <n v="2.8"/>
  </r>
  <r>
    <x v="17"/>
    <x v="17"/>
    <x v="1"/>
    <n v="6"/>
    <n v="2"/>
    <s v="Rolling 3 Months"/>
    <x v="3"/>
    <n v="97"/>
    <n v="1.04"/>
    <n v="462000"/>
    <n v="2.67"/>
    <n v="35"/>
    <n v="1550"/>
    <n v="117"/>
    <n v="8.33"/>
    <n v="186"/>
    <n v="11.38"/>
    <n v="107"/>
    <n v="-6.96"/>
  </r>
  <r>
    <x v="18"/>
    <x v="18"/>
    <x v="1"/>
    <n v="7"/>
    <n v="3"/>
    <s v="Rolling 3 Months"/>
    <x v="3"/>
    <n v="94"/>
    <n v="-11.32"/>
    <n v="468995"/>
    <n v="-0.95"/>
    <n v="31"/>
    <n v="300"/>
    <n v="137"/>
    <n v="16.100000000000001"/>
    <n v="207"/>
    <n v="9.52"/>
    <n v="117"/>
    <n v="-2.5"/>
  </r>
  <r>
    <x v="19"/>
    <x v="19"/>
    <x v="1"/>
    <n v="8"/>
    <n v="3"/>
    <s v="Rolling 3 Months"/>
    <x v="3"/>
    <n v="109"/>
    <n v="2.83"/>
    <n v="468500"/>
    <n v="-2.4"/>
    <n v="31"/>
    <n v="-300"/>
    <n v="135"/>
    <n v="16.38"/>
    <n v="210"/>
    <n v="18.64"/>
    <n v="123"/>
    <n v="6.96"/>
  </r>
  <r>
    <x v="20"/>
    <x v="20"/>
    <x v="1"/>
    <n v="9"/>
    <n v="3"/>
    <s v="Rolling 3 Months"/>
    <x v="3"/>
    <n v="105"/>
    <n v="20.69"/>
    <n v="469495"/>
    <n v="-4.18"/>
    <n v="31"/>
    <n v="-650"/>
    <n v="123"/>
    <n v="13.89"/>
    <n v="195"/>
    <n v="23.42"/>
    <n v="109"/>
    <n v="13.54"/>
  </r>
  <r>
    <x v="21"/>
    <x v="21"/>
    <x v="1"/>
    <n v="10"/>
    <n v="4"/>
    <s v="Rolling 3 Months"/>
    <x v="3"/>
    <n v="103"/>
    <n v="43.06"/>
    <n v="478490"/>
    <n v="-4.3"/>
    <n v="28"/>
    <n v="-800"/>
    <n v="90"/>
    <n v="18.420000000000002"/>
    <n v="179"/>
    <n v="21.77"/>
    <n v="90"/>
    <n v="12.5"/>
  </r>
  <r>
    <x v="22"/>
    <x v="22"/>
    <x v="1"/>
    <n v="11"/>
    <n v="4"/>
    <s v="Rolling 3 Months"/>
    <x v="3"/>
    <n v="81"/>
    <n v="15.71"/>
    <n v="489390"/>
    <n v="-1.1299999999999999"/>
    <n v="35"/>
    <n v="-1400"/>
    <n v="86"/>
    <n v="3.61"/>
    <n v="164"/>
    <n v="5.13"/>
    <n v="77"/>
    <n v="-7.23"/>
  </r>
  <r>
    <x v="23"/>
    <x v="23"/>
    <x v="1"/>
    <n v="12"/>
    <n v="4"/>
    <s v="Rolling 3 Months"/>
    <x v="3"/>
    <n v="67"/>
    <n v="-17.28"/>
    <n v="490636"/>
    <n v="1.1599999999999999"/>
    <n v="40"/>
    <n v="-500"/>
    <n v="92"/>
    <n v="-8.91"/>
    <n v="164"/>
    <n v="-1.8"/>
    <n v="74"/>
    <n v="-20.43"/>
  </r>
  <r>
    <x v="24"/>
    <x v="24"/>
    <x v="2"/>
    <n v="1"/>
    <n v="1"/>
    <s v="Rolling 3 Months"/>
    <x v="3"/>
    <n v="69"/>
    <n v="-17.86"/>
    <n v="474200"/>
    <n v="0.36"/>
    <n v="47"/>
    <n v="550"/>
    <n v="112"/>
    <n v="-5.88"/>
    <n v="182"/>
    <n v="3.41"/>
    <n v="89"/>
    <n v="-8.25"/>
  </r>
  <r>
    <x v="25"/>
    <x v="25"/>
    <x v="2"/>
    <n v="2"/>
    <n v="1"/>
    <s v="Rolling 3 Months"/>
    <x v="3"/>
    <n v="76"/>
    <n v="-6.17"/>
    <n v="470000"/>
    <n v="-2.08"/>
    <n v="37"/>
    <n v="650"/>
    <n v="121"/>
    <n v="-0.82"/>
    <n v="202"/>
    <n v="16.760000000000002"/>
    <n v="90"/>
    <n v="-9.09"/>
  </r>
  <r>
    <x v="26"/>
    <x v="26"/>
    <x v="2"/>
    <n v="3"/>
    <n v="1"/>
    <s v="Rolling 3 Months"/>
    <x v="3"/>
    <n v="87"/>
    <n v="-1.1399999999999999"/>
    <n v="477000"/>
    <n v="-0.62"/>
    <n v="35"/>
    <n v="1200"/>
    <n v="152"/>
    <n v="22.58"/>
    <n v="234"/>
    <n v="32.950000000000003"/>
    <n v="109"/>
    <n v="4.8099999999999996"/>
  </r>
  <r>
    <x v="27"/>
    <x v="27"/>
    <x v="2"/>
    <n v="4"/>
    <n v="2"/>
    <s v="Rolling 3 Months"/>
    <x v="3"/>
    <n v="87"/>
    <n v="-5.43"/>
    <n v="479000"/>
    <n v="1.1599999999999999"/>
    <n v="30"/>
    <n v="600"/>
    <n v="166"/>
    <n v="40.68"/>
    <n v="247"/>
    <n v="37.22"/>
    <n v="103"/>
    <n v="0"/>
  </r>
  <r>
    <x v="28"/>
    <x v="28"/>
    <x v="2"/>
    <n v="5"/>
    <n v="2"/>
    <s v="Rolling 3 Months"/>
    <x v="3"/>
    <n v="92"/>
    <n v="-4.17"/>
    <n v="479500"/>
    <n v="3.12"/>
    <n v="32"/>
    <n v="350"/>
    <n v="155"/>
    <n v="29.17"/>
    <n v="239"/>
    <n v="25.13"/>
    <n v="115"/>
    <n v="4.55"/>
  </r>
  <r>
    <x v="29"/>
    <x v="29"/>
    <x v="2"/>
    <n v="6"/>
    <n v="2"/>
    <s v="Rolling 3 Months"/>
    <x v="3"/>
    <n v="100"/>
    <n v="3.09"/>
    <n v="475000"/>
    <n v="2.81"/>
    <n v="34"/>
    <n v="-100"/>
    <n v="133"/>
    <n v="13.68"/>
    <n v="234"/>
    <n v="25.81"/>
    <n v="110"/>
    <n v="2.8"/>
  </r>
  <r>
    <x v="30"/>
    <x v="30"/>
    <x v="2"/>
    <n v="7"/>
    <n v="3"/>
    <s v="Rolling 3 Months"/>
    <x v="3"/>
    <n v="97"/>
    <n v="3.19"/>
    <n v="479000"/>
    <n v="2.13"/>
    <n v="41"/>
    <n v="1000"/>
    <n v="117"/>
    <n v="-14.6"/>
    <n v="235"/>
    <n v="13.53"/>
    <n v="120"/>
    <n v="2.56"/>
  </r>
  <r>
    <x v="31"/>
    <x v="31"/>
    <x v="2"/>
    <n v="8"/>
    <n v="3"/>
    <s v="Rolling 3 Months"/>
    <x v="3"/>
    <n v="96"/>
    <n v="-11.93"/>
    <n v="482500"/>
    <n v="2.99"/>
    <n v="41"/>
    <n v="1000"/>
    <n v="124"/>
    <n v="-8.15"/>
    <n v="231"/>
    <n v="10"/>
    <n v="112"/>
    <n v="-8.94"/>
  </r>
  <r>
    <x v="32"/>
    <x v="32"/>
    <x v="2"/>
    <n v="9"/>
    <n v="3"/>
    <s v="Rolling 3 Months"/>
    <x v="3"/>
    <n v="86"/>
    <n v="-18.100000000000001"/>
    <n v="479745"/>
    <n v="2.1800000000000002"/>
    <n v="44"/>
    <n v="1300"/>
    <n v="115"/>
    <n v="-6.5"/>
    <n v="225"/>
    <n v="15.38"/>
    <n v="103"/>
    <n v="-5.5"/>
  </r>
  <r>
    <x v="33"/>
    <x v="33"/>
    <x v="2"/>
    <n v="10"/>
    <n v="4"/>
    <s v="Rolling 3 Months"/>
    <x v="3"/>
    <n v="81"/>
    <n v="-21.36"/>
    <n v="482000"/>
    <n v="0.73"/>
    <n v="52"/>
    <n v="2350"/>
    <n v="103"/>
    <n v="14.44"/>
    <n v="199"/>
    <n v="11.17"/>
    <n v="89"/>
    <n v="-1.1100000000000001"/>
  </r>
  <r>
    <x v="34"/>
    <x v="34"/>
    <x v="2"/>
    <n v="11"/>
    <n v="4"/>
    <s v="Rolling 3 Months"/>
    <x v="3"/>
    <n v="74"/>
    <n v="-8.64"/>
    <n v="460870"/>
    <n v="-5.83"/>
    <n v="45"/>
    <n v="1000"/>
    <n v="88"/>
    <n v="2.33"/>
    <n v="192"/>
    <n v="17.07"/>
    <n v="84"/>
    <n v="9.09"/>
  </r>
  <r>
    <x v="35"/>
    <x v="35"/>
    <x v="2"/>
    <n v="12"/>
    <n v="4"/>
    <s v="Rolling 3 Months"/>
    <x v="3"/>
    <n v="65"/>
    <n v="-2.99"/>
    <n v="465000"/>
    <n v="-5.23"/>
    <n v="43"/>
    <n v="300"/>
    <n v="88"/>
    <n v="-4.3499999999999996"/>
    <n v="183"/>
    <n v="11.59"/>
    <n v="79"/>
    <n v="6.76"/>
  </r>
  <r>
    <x v="36"/>
    <x v="36"/>
    <x v="3"/>
    <n v="1"/>
    <n v="1"/>
    <s v="Rolling 3 Months"/>
    <x v="3"/>
    <n v="80"/>
    <n v="15.94"/>
    <n v="438362"/>
    <n v="-7.56"/>
    <n v="35"/>
    <n v="-1200"/>
    <n v="108"/>
    <n v="-3.57"/>
    <n v="197"/>
    <n v="8.24"/>
    <n v="106"/>
    <n v="19.100000000000001"/>
  </r>
  <r>
    <x v="37"/>
    <x v="37"/>
    <x v="3"/>
    <n v="2"/>
    <n v="1"/>
    <s v="Rolling 3 Months"/>
    <x v="3"/>
    <n v="88"/>
    <n v="15.82"/>
    <n v="442778"/>
    <n v="-5.79"/>
    <n v="40"/>
    <n v="356.05"/>
    <n v="118"/>
    <n v="-2.5299999999999998"/>
    <n v="208"/>
    <n v="3.07"/>
    <n v="111"/>
    <n v="23.28"/>
  </r>
  <r>
    <x v="0"/>
    <x v="0"/>
    <x v="0"/>
    <n v="1"/>
    <n v="1"/>
    <s v="Rolling 3 Months"/>
    <x v="4"/>
    <n v="108"/>
    <n v="-52.42"/>
    <n v="385000"/>
    <n v="0.52"/>
    <n v="42"/>
    <n v="2650"/>
    <n v="160"/>
    <n v="-36"/>
    <n v="278"/>
    <n v="-12.58"/>
    <n v="157"/>
    <n v="-32.03"/>
  </r>
  <r>
    <x v="1"/>
    <x v="1"/>
    <x v="0"/>
    <n v="2"/>
    <n v="1"/>
    <s v="Rolling 3 Months"/>
    <x v="4"/>
    <n v="135"/>
    <n v="-42.31"/>
    <n v="379495"/>
    <n v="-0.92"/>
    <n v="40"/>
    <n v="2700"/>
    <n v="193"/>
    <n v="-36.72"/>
    <n v="304"/>
    <n v="-20"/>
    <n v="185"/>
    <n v="-29.92"/>
  </r>
  <r>
    <x v="2"/>
    <x v="2"/>
    <x v="0"/>
    <n v="3"/>
    <n v="1"/>
    <s v="Rolling 3 Months"/>
    <x v="4"/>
    <n v="160"/>
    <n v="-34.43"/>
    <n v="387000"/>
    <n v="0.52"/>
    <n v="37"/>
    <n v="2400"/>
    <n v="225"/>
    <n v="-32.630000000000003"/>
    <n v="339"/>
    <n v="-20.98"/>
    <n v="215"/>
    <n v="-25.61"/>
  </r>
  <r>
    <x v="3"/>
    <x v="3"/>
    <x v="0"/>
    <n v="4"/>
    <n v="2"/>
    <s v="Rolling 3 Months"/>
    <x v="4"/>
    <n v="182"/>
    <n v="-24.17"/>
    <n v="383495"/>
    <n v="-0.39"/>
    <n v="33"/>
    <n v="1800"/>
    <n v="244"/>
    <n v="-32.409999999999997"/>
    <n v="360"/>
    <n v="-20"/>
    <n v="231"/>
    <n v="-14.76"/>
  </r>
  <r>
    <x v="4"/>
    <x v="4"/>
    <x v="0"/>
    <n v="5"/>
    <n v="2"/>
    <s v="Rolling 3 Months"/>
    <x v="4"/>
    <n v="206"/>
    <n v="-10.82"/>
    <n v="390323"/>
    <n v="-2.84"/>
    <n v="29"/>
    <n v="1050"/>
    <n v="258"/>
    <n v="-23.21"/>
    <n v="386"/>
    <n v="-16.09"/>
    <n v="243"/>
    <n v="-3.19"/>
  </r>
  <r>
    <x v="5"/>
    <x v="5"/>
    <x v="0"/>
    <n v="6"/>
    <n v="2"/>
    <s v="Rolling 3 Months"/>
    <x v="4"/>
    <n v="219"/>
    <n v="-0.9"/>
    <n v="392500"/>
    <n v="-1.88"/>
    <n v="24"/>
    <n v="100"/>
    <n v="264"/>
    <n v="-7.69"/>
    <n v="388"/>
    <n v="-11.42"/>
    <n v="233"/>
    <n v="0.43"/>
  </r>
  <r>
    <x v="6"/>
    <x v="6"/>
    <x v="0"/>
    <n v="7"/>
    <n v="3"/>
    <s v="Rolling 3 Months"/>
    <x v="4"/>
    <n v="215"/>
    <n v="4.88"/>
    <n v="400000"/>
    <n v="0"/>
    <n v="22"/>
    <n v="-600"/>
    <n v="265"/>
    <n v="8.16"/>
    <n v="393"/>
    <n v="-9.0299999999999994"/>
    <n v="225"/>
    <n v="-0.88"/>
  </r>
  <r>
    <x v="7"/>
    <x v="7"/>
    <x v="0"/>
    <n v="8"/>
    <n v="3"/>
    <s v="Rolling 3 Months"/>
    <x v="4"/>
    <n v="218"/>
    <n v="10.1"/>
    <n v="400000"/>
    <n v="0.88"/>
    <n v="22"/>
    <n v="-900"/>
    <n v="238"/>
    <n v="14.42"/>
    <n v="375"/>
    <n v="-6.02"/>
    <n v="221"/>
    <n v="8.8699999999999992"/>
  </r>
  <r>
    <x v="8"/>
    <x v="8"/>
    <x v="0"/>
    <n v="9"/>
    <n v="3"/>
    <s v="Rolling 3 Months"/>
    <x v="4"/>
    <n v="195"/>
    <n v="1.56"/>
    <n v="403990"/>
    <n v="2.41"/>
    <n v="27"/>
    <n v="-750"/>
    <n v="207"/>
    <n v="16.29"/>
    <n v="346"/>
    <n v="-1.1399999999999999"/>
    <n v="199"/>
    <n v="15.03"/>
  </r>
  <r>
    <x v="9"/>
    <x v="9"/>
    <x v="0"/>
    <n v="10"/>
    <n v="4"/>
    <s v="Rolling 3 Months"/>
    <x v="4"/>
    <n v="173"/>
    <n v="4.8499999999999996"/>
    <n v="395990"/>
    <n v="9.6199999999999992"/>
    <n v="33"/>
    <n v="-600"/>
    <n v="161"/>
    <n v="16.670000000000002"/>
    <n v="310"/>
    <n v="1.31"/>
    <n v="176"/>
    <n v="30.37"/>
  </r>
  <r>
    <x v="10"/>
    <x v="10"/>
    <x v="0"/>
    <n v="11"/>
    <n v="4"/>
    <s v="Rolling 3 Months"/>
    <x v="4"/>
    <n v="145"/>
    <n v="18.850000000000001"/>
    <n v="395000"/>
    <n v="10.029999999999999"/>
    <n v="43"/>
    <n v="-250"/>
    <n v="175"/>
    <n v="44.63"/>
    <n v="311"/>
    <n v="13.09"/>
    <n v="172"/>
    <n v="44.54"/>
  </r>
  <r>
    <x v="11"/>
    <x v="11"/>
    <x v="0"/>
    <n v="12"/>
    <n v="4"/>
    <s v="Rolling 3 Months"/>
    <x v="4"/>
    <n v="161"/>
    <n v="59.41"/>
    <n v="395000"/>
    <n v="12.86"/>
    <n v="43"/>
    <n v="-400"/>
    <n v="181"/>
    <n v="42.52"/>
    <n v="321"/>
    <n v="26.38"/>
    <n v="199"/>
    <n v="61.79"/>
  </r>
  <r>
    <x v="12"/>
    <x v="12"/>
    <x v="1"/>
    <n v="1"/>
    <n v="1"/>
    <s v="Rolling 3 Months"/>
    <x v="4"/>
    <n v="186"/>
    <n v="72.22"/>
    <n v="398750"/>
    <n v="3.57"/>
    <n v="34"/>
    <n v="-800"/>
    <n v="215"/>
    <n v="34.380000000000003"/>
    <n v="339"/>
    <n v="21.94"/>
    <n v="215"/>
    <n v="36.94"/>
  </r>
  <r>
    <x v="13"/>
    <x v="13"/>
    <x v="1"/>
    <n v="2"/>
    <n v="1"/>
    <s v="Rolling 3 Months"/>
    <x v="4"/>
    <n v="204"/>
    <n v="51.11"/>
    <n v="395000"/>
    <n v="4.09"/>
    <n v="28"/>
    <n v="-1200"/>
    <n v="246"/>
    <n v="27.46"/>
    <n v="379"/>
    <n v="24.67"/>
    <n v="237"/>
    <n v="28.11"/>
  </r>
  <r>
    <x v="14"/>
    <x v="14"/>
    <x v="1"/>
    <n v="3"/>
    <n v="1"/>
    <s v="Rolling 3 Months"/>
    <x v="4"/>
    <n v="205"/>
    <n v="28.13"/>
    <n v="392500"/>
    <n v="1.42"/>
    <n v="25"/>
    <n v="-1200"/>
    <n v="274"/>
    <n v="21.78"/>
    <n v="385"/>
    <n v="13.57"/>
    <n v="234"/>
    <n v="8.84"/>
  </r>
  <r>
    <x v="15"/>
    <x v="15"/>
    <x v="1"/>
    <n v="4"/>
    <n v="2"/>
    <s v="Rolling 3 Months"/>
    <x v="4"/>
    <n v="211"/>
    <n v="15.93"/>
    <n v="402745"/>
    <n v="5.0199999999999996"/>
    <n v="26"/>
    <n v="-750"/>
    <n v="301"/>
    <n v="23.36"/>
    <n v="418"/>
    <n v="16.11"/>
    <n v="239"/>
    <n v="3.46"/>
  </r>
  <r>
    <x v="16"/>
    <x v="16"/>
    <x v="1"/>
    <n v="5"/>
    <n v="2"/>
    <s v="Rolling 3 Months"/>
    <x v="4"/>
    <n v="221"/>
    <n v="7.28"/>
    <n v="407250"/>
    <n v="4.34"/>
    <n v="21"/>
    <n v="-800"/>
    <n v="273"/>
    <n v="5.81"/>
    <n v="416"/>
    <n v="7.77"/>
    <n v="231"/>
    <n v="-4.9400000000000004"/>
  </r>
  <r>
    <x v="17"/>
    <x v="17"/>
    <x v="1"/>
    <n v="6"/>
    <n v="2"/>
    <s v="Rolling 3 Months"/>
    <x v="4"/>
    <n v="222"/>
    <n v="1.37"/>
    <n v="410685"/>
    <n v="4.63"/>
    <n v="24"/>
    <n v="0"/>
    <n v="258"/>
    <n v="-2.27"/>
    <n v="394"/>
    <n v="1.55"/>
    <n v="209"/>
    <n v="-10.3"/>
  </r>
  <r>
    <x v="18"/>
    <x v="18"/>
    <x v="1"/>
    <n v="7"/>
    <n v="3"/>
    <s v="Rolling 3 Months"/>
    <x v="4"/>
    <n v="188"/>
    <n v="-12.56"/>
    <n v="410000"/>
    <n v="2.5"/>
    <n v="29"/>
    <n v="700"/>
    <n v="238"/>
    <n v="-10.19"/>
    <n v="406"/>
    <n v="3.31"/>
    <n v="208"/>
    <n v="-7.56"/>
  </r>
  <r>
    <x v="19"/>
    <x v="19"/>
    <x v="1"/>
    <n v="8"/>
    <n v="3"/>
    <s v="Rolling 3 Months"/>
    <x v="4"/>
    <n v="173"/>
    <n v="-20.64"/>
    <n v="401000"/>
    <n v="0.25"/>
    <n v="40"/>
    <n v="1750"/>
    <n v="254"/>
    <n v="6.72"/>
    <n v="417"/>
    <n v="11.2"/>
    <n v="198"/>
    <n v="-10.41"/>
  </r>
  <r>
    <x v="20"/>
    <x v="20"/>
    <x v="1"/>
    <n v="9"/>
    <n v="3"/>
    <s v="Rolling 3 Months"/>
    <x v="4"/>
    <n v="166"/>
    <n v="-14.87"/>
    <n v="404750"/>
    <n v="0.19"/>
    <n v="47"/>
    <n v="2000"/>
    <n v="234"/>
    <n v="13.04"/>
    <n v="412"/>
    <n v="19.079999999999998"/>
    <n v="197"/>
    <n v="-1.01"/>
  </r>
  <r>
    <x v="21"/>
    <x v="21"/>
    <x v="1"/>
    <n v="10"/>
    <n v="4"/>
    <s v="Rolling 3 Months"/>
    <x v="4"/>
    <n v="184"/>
    <n v="6.36"/>
    <n v="410000"/>
    <n v="3.54"/>
    <n v="47"/>
    <n v="1350"/>
    <n v="190"/>
    <n v="18.010000000000002"/>
    <n v="389"/>
    <n v="25.48"/>
    <n v="190"/>
    <n v="7.95"/>
  </r>
  <r>
    <x v="22"/>
    <x v="22"/>
    <x v="1"/>
    <n v="11"/>
    <n v="4"/>
    <s v="Rolling 3 Months"/>
    <x v="4"/>
    <n v="174"/>
    <n v="20"/>
    <n v="414000"/>
    <n v="4.8099999999999996"/>
    <n v="58"/>
    <n v="1500"/>
    <n v="159"/>
    <n v="-9.14"/>
    <n v="378"/>
    <n v="21.54"/>
    <n v="178"/>
    <n v="3.49"/>
  </r>
  <r>
    <x v="23"/>
    <x v="23"/>
    <x v="1"/>
    <n v="12"/>
    <n v="4"/>
    <s v="Rolling 3 Months"/>
    <x v="4"/>
    <n v="154"/>
    <n v="-4.3499999999999996"/>
    <n v="418500"/>
    <n v="5.95"/>
    <n v="57"/>
    <n v="1400"/>
    <n v="180"/>
    <n v="-0.55000000000000004"/>
    <n v="373"/>
    <n v="16.2"/>
    <n v="165"/>
    <n v="-17.09"/>
  </r>
  <r>
    <x v="24"/>
    <x v="24"/>
    <x v="2"/>
    <n v="1"/>
    <n v="1"/>
    <s v="Rolling 3 Months"/>
    <x v="4"/>
    <n v="147"/>
    <n v="-20.97"/>
    <n v="407340"/>
    <n v="2.15"/>
    <n v="47"/>
    <n v="1300"/>
    <n v="241"/>
    <n v="12.09"/>
    <n v="418"/>
    <n v="23.3"/>
    <n v="192"/>
    <n v="-10.7"/>
  </r>
  <r>
    <x v="25"/>
    <x v="25"/>
    <x v="2"/>
    <n v="2"/>
    <n v="1"/>
    <s v="Rolling 3 Months"/>
    <x v="4"/>
    <n v="170"/>
    <n v="-16.670000000000002"/>
    <n v="410000"/>
    <n v="3.8"/>
    <n v="39"/>
    <n v="1100"/>
    <n v="278"/>
    <n v="13.01"/>
    <n v="450"/>
    <n v="18.73"/>
    <n v="212"/>
    <n v="-10.55"/>
  </r>
  <r>
    <x v="26"/>
    <x v="26"/>
    <x v="2"/>
    <n v="3"/>
    <n v="1"/>
    <s v="Rolling 3 Months"/>
    <x v="4"/>
    <n v="199"/>
    <n v="-2.93"/>
    <n v="400000"/>
    <n v="1.91"/>
    <n v="36"/>
    <n v="1100"/>
    <n v="314"/>
    <n v="14.6"/>
    <n v="499"/>
    <n v="29.61"/>
    <n v="235"/>
    <n v="0.43"/>
  </r>
  <r>
    <x v="27"/>
    <x v="27"/>
    <x v="2"/>
    <n v="4"/>
    <n v="2"/>
    <s v="Rolling 3 Months"/>
    <x v="4"/>
    <n v="205"/>
    <n v="-2.84"/>
    <n v="410000"/>
    <n v="1.8"/>
    <n v="37"/>
    <n v="1100"/>
    <n v="298"/>
    <n v="-1"/>
    <n v="493"/>
    <n v="17.940000000000001"/>
    <n v="241"/>
    <n v="0.84"/>
  </r>
  <r>
    <x v="28"/>
    <x v="28"/>
    <x v="2"/>
    <n v="5"/>
    <n v="2"/>
    <s v="Rolling 3 Months"/>
    <x v="4"/>
    <n v="209"/>
    <n v="-5.43"/>
    <n v="415000"/>
    <n v="1.9"/>
    <n v="36"/>
    <n v="1500"/>
    <n v="278"/>
    <n v="1.83"/>
    <n v="492"/>
    <n v="18.27"/>
    <n v="246"/>
    <n v="6.49"/>
  </r>
  <r>
    <x v="29"/>
    <x v="29"/>
    <x v="2"/>
    <n v="6"/>
    <n v="2"/>
    <s v="Rolling 3 Months"/>
    <x v="4"/>
    <n v="218"/>
    <n v="-1.8"/>
    <n v="420000"/>
    <n v="2.27"/>
    <n v="42"/>
    <n v="1800"/>
    <n v="242"/>
    <n v="-6.2"/>
    <n v="489"/>
    <n v="24.11"/>
    <n v="248"/>
    <n v="18.66"/>
  </r>
  <r>
    <x v="30"/>
    <x v="30"/>
    <x v="2"/>
    <n v="7"/>
    <n v="3"/>
    <s v="Rolling 3 Months"/>
    <x v="4"/>
    <n v="234"/>
    <n v="24.47"/>
    <n v="419995"/>
    <n v="2.44"/>
    <n v="54"/>
    <n v="2450"/>
    <n v="234"/>
    <n v="-1.68"/>
    <n v="462"/>
    <n v="13.79"/>
    <n v="238"/>
    <n v="14.42"/>
  </r>
  <r>
    <x v="31"/>
    <x v="31"/>
    <x v="2"/>
    <n v="8"/>
    <n v="3"/>
    <s v="Rolling 3 Months"/>
    <x v="4"/>
    <n v="215"/>
    <n v="24.28"/>
    <n v="410000"/>
    <n v="2.2400000000000002"/>
    <n v="60"/>
    <n v="2050"/>
    <n v="239"/>
    <n v="-5.91"/>
    <n v="471"/>
    <n v="12.95"/>
    <n v="247"/>
    <n v="24.75"/>
  </r>
  <r>
    <x v="32"/>
    <x v="32"/>
    <x v="2"/>
    <n v="9"/>
    <n v="3"/>
    <s v="Rolling 3 Months"/>
    <x v="4"/>
    <n v="212"/>
    <n v="27.71"/>
    <n v="409995"/>
    <n v="1.3"/>
    <n v="56"/>
    <n v="900"/>
    <n v="229"/>
    <n v="-2.14"/>
    <n v="432"/>
    <n v="4.8499999999999996"/>
    <n v="207"/>
    <n v="5.08"/>
  </r>
  <r>
    <x v="33"/>
    <x v="33"/>
    <x v="2"/>
    <n v="10"/>
    <n v="4"/>
    <s v="Rolling 3 Months"/>
    <x v="4"/>
    <n v="194"/>
    <n v="5.43"/>
    <n v="396411"/>
    <n v="-3.31"/>
    <n v="54"/>
    <n v="700"/>
    <n v="222"/>
    <n v="16.84"/>
    <n v="426"/>
    <n v="9.51"/>
    <n v="204"/>
    <n v="7.37"/>
  </r>
  <r>
    <x v="34"/>
    <x v="34"/>
    <x v="2"/>
    <n v="11"/>
    <n v="4"/>
    <s v="Rolling 3 Months"/>
    <x v="4"/>
    <n v="182"/>
    <n v="4.5999999999999996"/>
    <n v="410000"/>
    <n v="-0.97"/>
    <n v="53"/>
    <n v="-500"/>
    <n v="253"/>
    <n v="59.12"/>
    <n v="453"/>
    <n v="19.84"/>
    <n v="204"/>
    <n v="14.61"/>
  </r>
  <r>
    <x v="35"/>
    <x v="35"/>
    <x v="2"/>
    <n v="12"/>
    <n v="4"/>
    <s v="Rolling 3 Months"/>
    <x v="4"/>
    <n v="183"/>
    <n v="18.829999999999998"/>
    <n v="399990"/>
    <n v="-4.42"/>
    <n v="45"/>
    <n v="-1200"/>
    <n v="274"/>
    <n v="52.22"/>
    <n v="475"/>
    <n v="27.35"/>
    <n v="240"/>
    <n v="45.45"/>
  </r>
  <r>
    <x v="36"/>
    <x v="36"/>
    <x v="3"/>
    <n v="1"/>
    <n v="1"/>
    <s v="Rolling 3 Months"/>
    <x v="4"/>
    <n v="216"/>
    <n v="46.94"/>
    <n v="399250"/>
    <n v="-1.99"/>
    <n v="41"/>
    <n v="-550"/>
    <n v="292"/>
    <n v="21.16"/>
    <n v="484"/>
    <n v="15.79"/>
    <n v="281"/>
    <n v="46.35"/>
  </r>
  <r>
    <x v="37"/>
    <x v="37"/>
    <x v="3"/>
    <n v="2"/>
    <n v="1"/>
    <s v="Rolling 3 Months"/>
    <x v="4"/>
    <n v="249"/>
    <n v="46.31"/>
    <n v="398784"/>
    <n v="-2.74"/>
    <n v="39"/>
    <n v="-44.18"/>
    <n v="263"/>
    <n v="-5.37"/>
    <n v="478"/>
    <n v="6.16"/>
    <n v="294"/>
    <n v="38.450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595A04-E1C4-014B-8E85-A76D7804F468}" name="PivotTable18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1:O20" firstHeaderRow="1" firstDataRow="2" firstDataCol="1"/>
  <pivotFields count="25">
    <pivotField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axis="axisRow"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2"/>
    <field x="20"/>
  </rowFields>
  <rowItems count="18">
    <i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Homes_Sold" fld="7" baseField="0" baseItem="0" numFmtId="1"/>
  </dataFields>
  <chartFormats count="5"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36044-798E-824C-A861-EF7590E45520}" name="PivotTable15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26:O46" firstHeaderRow="1" firstDataRow="2" firstDataCol="1"/>
  <pivotFields count="25">
    <pivotField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axis="axisRow"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4">
    <field x="24"/>
    <field x="23"/>
    <field x="22"/>
    <field x="1"/>
  </rowFields>
  <rowItems count="19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Median_Days_On_Market" fld="11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4E93A-6764-8847-88B9-8DC1666356F1}" name="PivotTable14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Q1:W20" firstHeaderRow="1" firstDataRow="2" firstDataCol="1"/>
  <pivotFields count="25">
    <pivotField axis="axisRow"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4">
    <field x="21"/>
    <field x="20"/>
    <field x="19"/>
    <field x="0"/>
  </rowFields>
  <rowItems count="18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Median_Sale_Price" fld="9" subtotal="average" baseField="0" baseItem="0" numFmtId="169"/>
  </dataFields>
  <chartFormats count="10"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7C3EC-153F-FF49-B00B-087D371FEE23}" name="PivotTable1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G21" firstHeaderRow="1" firstDataRow="2" firstDataCol="1"/>
  <pivotFields count="25">
    <pivotField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axis="axisRow"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x="1"/>
        <item x="2"/>
        <item x="3"/>
        <item x="4"/>
        <item sd="0" x="5"/>
      </items>
    </pivotField>
  </pivotFields>
  <rowFields count="4">
    <field x="24"/>
    <field x="23"/>
    <field x="22"/>
    <field x="1"/>
  </rowFields>
  <rowItems count="19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Active_Listings" fld="15" subtotal="average" baseField="0" baseItem="0" numFmtId="1"/>
  </dataFields>
  <chartFormats count="5"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8466F-4609-764E-B6F0-25B93F663030}" name="PivotTable12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G34" firstHeaderRow="1" firstDataRow="2" firstDataCol="1"/>
  <pivotFields count="25">
    <pivotField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Median_Sale_Price_YOY_Pct" fld="10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FCF88-CCFE-AF44-A5C6-CFA68B8A173F}" name="PivotTable11" cacheId="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showHeaders="0" outline="1" outlineData="1" multipleFieldFilters="0" chartFormat="5">
  <location ref="B33:G38" firstHeaderRow="1" firstDataRow="2" firstDataCol="1"/>
  <pivotFields count="25">
    <pivotField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axis="axisRow"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4">
    <field x="24"/>
    <field x="23"/>
    <field x="22"/>
    <field x="1"/>
  </rowFields>
  <rowItems count="4">
    <i>
      <x v="1"/>
    </i>
    <i>
      <x v="2"/>
    </i>
    <i>
      <x v="3"/>
    </i>
    <i>
      <x v="4"/>
    </i>
  </rowItems>
  <colFields count="1">
    <field x="6"/>
  </colFields>
  <colItems count="5">
    <i>
      <x/>
    </i>
    <i>
      <x v="1"/>
    </i>
    <i>
      <x v="2"/>
    </i>
    <i>
      <x v="3"/>
    </i>
    <i>
      <x v="4"/>
    </i>
  </colItems>
  <dataFields count="1">
    <dataField name="Active Listings" fld="15" subtotal="average" baseField="0" baseItem="0" numFmtId="1"/>
  </dataFields>
  <conditionalFormats count="13">
    <conditionalFormat priority="13">
      <pivotAreas count="4"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0"/>
            </reference>
            <reference field="24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0"/>
            </reference>
            <reference field="24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0"/>
            </reference>
            <reference field="24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0"/>
            </reference>
            <reference field="24" count="1">
              <x v="4"/>
            </reference>
          </references>
        </pivotArea>
      </pivotAreas>
    </conditionalFormat>
    <conditionalFormat priority="12">
      <pivotAreas count="4"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0"/>
            </reference>
            <reference field="24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0"/>
            </reference>
            <reference field="24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0"/>
            </reference>
            <reference field="24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0"/>
            </reference>
            <reference field="24" count="1">
              <x v="4"/>
            </reference>
          </references>
        </pivotArea>
      </pivotAreas>
    </conditionalFormat>
    <conditionalFormat priority="11">
      <pivotAreas count="4"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1"/>
            </reference>
            <reference field="24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1"/>
            </reference>
            <reference field="24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1"/>
            </reference>
            <reference field="24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1"/>
            </reference>
            <reference field="24" count="1">
              <x v="4"/>
            </reference>
          </references>
        </pivotArea>
      </pivotAreas>
    </conditionalFormat>
    <conditionalFormat priority="10">
      <pivotAreas count="4"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2"/>
            </reference>
            <reference field="24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2"/>
            </reference>
            <reference field="24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2"/>
            </reference>
            <reference field="24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2"/>
            </reference>
            <reference field="24" count="1">
              <x v="4"/>
            </reference>
          </references>
        </pivotArea>
      </pivotAreas>
    </conditionalFormat>
    <conditionalFormat priority="9">
      <pivotAreas count="4"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1"/>
            </reference>
            <reference field="24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1"/>
            </reference>
            <reference field="24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1"/>
            </reference>
            <reference field="24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1"/>
            </reference>
            <reference field="24" count="1">
              <x v="4"/>
            </reference>
          </references>
        </pivotArea>
      </pivotAreas>
    </conditionalFormat>
    <conditionalFormat priority="8">
      <pivotAreas count="4"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3"/>
            </reference>
            <reference field="24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3"/>
            </reference>
            <reference field="24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3"/>
            </reference>
            <reference field="24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3"/>
            </reference>
            <reference field="24" count="1">
              <x v="4"/>
            </reference>
          </references>
        </pivotArea>
      </pivotAreas>
    </conditionalFormat>
    <conditionalFormat priority="7">
      <pivotAreas count="4"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4"/>
            </reference>
            <reference field="24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4"/>
            </reference>
            <reference field="24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4"/>
            </reference>
            <reference field="24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4"/>
            </reference>
            <reference field="24" count="1">
              <x v="4"/>
            </reference>
          </references>
        </pivotArea>
      </pivotAreas>
    </conditionalFormat>
    <conditionalFormat priority="6">
      <pivotAreas count="4"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0"/>
            </reference>
            <reference field="24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0"/>
            </reference>
            <reference field="24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0"/>
            </reference>
            <reference field="24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0"/>
            </reference>
            <reference field="24" count="1">
              <x v="4"/>
            </reference>
          </references>
        </pivotArea>
      </pivotAreas>
    </conditionalFormat>
    <conditionalFormat priority="5">
      <pivotAreas count="4"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1"/>
            </reference>
            <reference field="24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1"/>
            </reference>
            <reference field="24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1"/>
            </reference>
            <reference field="24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1"/>
            </reference>
            <reference field="24" count="1">
              <x v="4"/>
            </reference>
          </references>
        </pivotArea>
      </pivotAreas>
    </conditionalFormat>
    <conditionalFormat priority="4">
      <pivotAreas count="4"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1"/>
            </reference>
            <reference field="24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1"/>
            </reference>
            <reference field="24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1"/>
            </reference>
            <reference field="24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1"/>
            </reference>
            <reference field="24" count="1">
              <x v="4"/>
            </reference>
          </references>
        </pivotArea>
      </pivotAreas>
    </conditionalFormat>
    <conditionalFormat priority="3">
      <pivotAreas count="4"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2"/>
            </reference>
            <reference field="24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2"/>
            </reference>
            <reference field="24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2"/>
            </reference>
            <reference field="24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2"/>
            </reference>
            <reference field="24" count="1">
              <x v="4"/>
            </reference>
          </references>
        </pivotArea>
      </pivotAreas>
    </conditionalFormat>
    <conditionalFormat priority="2">
      <pivotAreas count="4"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3"/>
            </reference>
            <reference field="24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3"/>
            </reference>
            <reference field="24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3"/>
            </reference>
            <reference field="24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3"/>
            </reference>
            <reference field="24" count="1">
              <x v="4"/>
            </reference>
          </references>
        </pivotArea>
      </pivotAreas>
    </conditionalFormat>
    <conditionalFormat priority="1">
      <pivotAreas count="4"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4"/>
            </reference>
            <reference field="24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4"/>
            </reference>
            <reference field="24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4"/>
            </reference>
            <reference field="24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4"/>
            </reference>
            <reference field="24" count="1">
              <x v="4"/>
            </reference>
          </references>
        </pivotArea>
      </pivotAreas>
    </conditionalFormat>
  </conditionalFormats>
  <chartFormats count="5"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C4FBA-A228-BA4D-A10A-95B49774ABE1}" name="PivotTable10" cacheId="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showHeaders="0" outline="1" outlineData="1" multipleFieldFilters="0">
  <location ref="J24:O29" firstHeaderRow="1" firstDataRow="2" firstDataCol="1"/>
  <pivotFields count="25">
    <pivotField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6"/>
  </colFields>
  <colItems count="5">
    <i>
      <x/>
    </i>
    <i>
      <x v="1"/>
    </i>
    <i>
      <x v="2"/>
    </i>
    <i>
      <x v="3"/>
    </i>
    <i>
      <x v="4"/>
    </i>
  </colItems>
  <dataFields count="1">
    <dataField name="Median Sales Price YoY" fld="10" subtotal="average" baseField="0" baseItem="0" numFmtId="2"/>
  </dataFields>
  <formats count="1">
    <format dxfId="14">
      <pivotArea type="all" dataOnly="0" outline="0" fieldPosition="0"/>
    </format>
  </formats>
  <conditionalFormats count="1">
    <conditionalFormat priority="1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4">
              <x v="0"/>
              <x v="1"/>
              <x v="2"/>
              <x v="3"/>
            </reference>
            <reference field="6" count="5" selected="0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419094-5C10-2642-B8CB-797D22EABDDD}" name="PivotTable9" cacheId="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showHeaders="0" outline="1" outlineData="1" multipleFieldFilters="0" chartFormat="1">
  <location ref="B24:G29" firstHeaderRow="1" firstDataRow="2" firstDataCol="1"/>
  <pivotFields count="25">
    <pivotField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axis="axisRow"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2"/>
    <field x="20"/>
  </rowFields>
  <rowItems count="4">
    <i>
      <x/>
    </i>
    <i>
      <x v="1"/>
    </i>
    <i>
      <x v="2"/>
    </i>
    <i>
      <x v="3"/>
    </i>
  </rowItems>
  <colFields count="1">
    <field x="6"/>
  </colFields>
  <colItems count="5">
    <i>
      <x/>
    </i>
    <i>
      <x v="1"/>
    </i>
    <i>
      <x v="2"/>
    </i>
    <i>
      <x v="3"/>
    </i>
    <i>
      <x v="4"/>
    </i>
  </colItems>
  <dataFields count="1">
    <dataField name="Homes Sold" fld="7" baseField="0" baseItem="0" numFmtId="1"/>
  </dataFields>
  <formats count="1">
    <format dxfId="15">
      <pivotArea type="all" dataOnly="0" outline="0" fieldPosition="0"/>
    </format>
  </formats>
  <conditionalFormats count="1">
    <conditionalFormat priority="15">
      <pivotAreas count="4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0"/>
            </reference>
            <reference field="6" count="5" selected="0">
              <x v="0"/>
              <x v="1"/>
              <x v="2"/>
              <x v="3"/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1"/>
            </reference>
            <reference field="6" count="5" selected="0">
              <x v="0"/>
              <x v="1"/>
              <x v="2"/>
              <x v="3"/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2"/>
            </reference>
            <reference field="6" count="5" selected="0">
              <x v="0"/>
              <x v="1"/>
              <x v="2"/>
              <x v="3"/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3"/>
            </reference>
            <reference field="6" count="5" selected="0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4B1A5-A638-C64E-B693-12AF755C3DB4}" name="PivotTable8" cacheId="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showHeaders="0" outline="1" outlineData="1" multipleFieldFilters="0">
  <location ref="J12:O17" firstHeaderRow="1" firstDataRow="2" firstDataCol="1"/>
  <pivotFields count="25">
    <pivotField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axis="axisRow"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4"/>
    <field x="23"/>
    <field x="22"/>
    <field x="1"/>
  </rowFields>
  <rowItems count="4">
    <i>
      <x v="1"/>
    </i>
    <i>
      <x v="2"/>
    </i>
    <i>
      <x v="3"/>
    </i>
    <i>
      <x v="4"/>
    </i>
  </rowItems>
  <colFields count="1">
    <field x="6"/>
  </colFields>
  <colItems count="5">
    <i>
      <x/>
    </i>
    <i>
      <x v="1"/>
    </i>
    <i>
      <x v="2"/>
    </i>
    <i>
      <x v="3"/>
    </i>
    <i>
      <x v="4"/>
    </i>
  </colItems>
  <dataFields count="1">
    <dataField name="Days On Market" fld="11" subtotal="average" baseField="0" baseItem="0" numFmtId="1"/>
  </dataFields>
  <formats count="1">
    <format dxfId="16">
      <pivotArea type="all" dataOnly="0" outline="0" fieldPosition="0"/>
    </format>
  </formats>
  <conditionalFormats count="1">
    <conditionalFormat priority="16">
      <pivotAreas count="4">
        <pivotArea type="data" collapsedLevelsAreSubtotals="1" fieldPosition="0">
          <references count="3">
            <reference field="4294967294" count="1" selected="0">
              <x v="0"/>
            </reference>
            <reference field="6" count="5" selected="0">
              <x v="0"/>
              <x v="1"/>
              <x v="2"/>
              <x v="3"/>
              <x v="4"/>
            </reference>
            <reference field="24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5" selected="0">
              <x v="0"/>
              <x v="1"/>
              <x v="2"/>
              <x v="3"/>
              <x v="4"/>
            </reference>
            <reference field="24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5" selected="0">
              <x v="0"/>
              <x v="1"/>
              <x v="2"/>
              <x v="3"/>
              <x v="4"/>
            </reference>
            <reference field="24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5" selected="0">
              <x v="0"/>
              <x v="1"/>
              <x v="2"/>
              <x v="3"/>
              <x v="4"/>
            </reference>
            <reference field="24" count="1"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F9ECEE9-6DAD-A947-BAE4-BD162DE2ADF3}" autoFormatId="16" applyNumberFormats="0" applyBorderFormats="0" applyFontFormats="0" applyPatternFormats="0" applyAlignmentFormats="0" applyWidthHeightFormats="0">
  <queryTableRefresh nextId="20">
    <queryTableFields count="19">
      <queryTableField id="1" name="Period_Begin" tableColumnId="1"/>
      <queryTableField id="2" name="Period_End" tableColumnId="2"/>
      <queryTableField id="3" name="Year" tableColumnId="3"/>
      <queryTableField id="4" name="Month" tableColumnId="4"/>
      <queryTableField id="5" name="Quarter" tableColumnId="5"/>
      <queryTableField id="6" name="Frequency" tableColumnId="6"/>
      <queryTableField id="7" name="City" tableColumnId="7"/>
      <queryTableField id="8" name="Homes_Sold" tableColumnId="8"/>
      <queryTableField id="9" name="Homes_Sold_YOY_Pct" tableColumnId="9"/>
      <queryTableField id="10" name="Median_Sale_Price" tableColumnId="10"/>
      <queryTableField id="11" name="Median_Sale_Price_YOY_Pct" tableColumnId="11"/>
      <queryTableField id="12" name="Median_Days_On_Market" tableColumnId="12"/>
      <queryTableField id="13" name="Median_Days_On_Market_YOY_Pct" tableColumnId="13"/>
      <queryTableField id="14" name="New_Listings" tableColumnId="14"/>
      <queryTableField id="15" name="New_Listings_YOY_Pct" tableColumnId="15"/>
      <queryTableField id="16" name="Active_Listings" tableColumnId="16"/>
      <queryTableField id="17" name="Active_Listings_YOY_Pct" tableColumnId="17"/>
      <queryTableField id="18" name="Pending_Sales" tableColumnId="18"/>
      <queryTableField id="19" name="Pending_Sales_YOY_Pct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38CF15-79E7-E242-8849-4257ECDFA3D4}" name="tbl_housing" displayName="tbl_housing" ref="A1:S191" tableType="queryTable" totalsRowShown="0">
  <autoFilter ref="A1:S191" xr:uid="{7838CF15-79E7-E242-8849-4257ECDFA3D4}"/>
  <tableColumns count="19">
    <tableColumn id="1" xr3:uid="{4309092D-6FF4-BF40-9FC2-16ECC749EFDB}" uniqueName="1" name="Period_Begin" queryTableFieldId="1" dataDxfId="20"/>
    <tableColumn id="2" xr3:uid="{40EC0F1D-8232-794F-82E0-F3398893BE26}" uniqueName="2" name="Period_End" queryTableFieldId="2" dataDxfId="19"/>
    <tableColumn id="3" xr3:uid="{1BFD402D-8B72-7F4A-B7AC-B91E5105A85C}" uniqueName="3" name="Year" queryTableFieldId="3"/>
    <tableColumn id="4" xr3:uid="{65461C1C-C6AF-4D4E-A4B1-A2AF6C0E8121}" uniqueName="4" name="Month" queryTableFieldId="4"/>
    <tableColumn id="5" xr3:uid="{0FFD6168-BF6E-D646-8D93-3F13BEC233D3}" uniqueName="5" name="Quarter" queryTableFieldId="5"/>
    <tableColumn id="6" xr3:uid="{15BDE2F4-C31B-E746-AA4D-21E7DD187E27}" uniqueName="6" name="Frequency" queryTableFieldId="6" dataDxfId="18"/>
    <tableColumn id="7" xr3:uid="{8D8CE515-22EF-FB47-8C23-6AB70D895D90}" uniqueName="7" name="City" queryTableFieldId="7" dataDxfId="17"/>
    <tableColumn id="8" xr3:uid="{BF162223-C157-C34A-8DC2-8F6FDB9C0676}" uniqueName="8" name="Homes_Sold" queryTableFieldId="8"/>
    <tableColumn id="9" xr3:uid="{0A4196A5-4600-E245-9C07-189A93F68CDB}" uniqueName="9" name="Homes_Sold_YOY_Pct" queryTableFieldId="9"/>
    <tableColumn id="10" xr3:uid="{7EA887EA-508E-D54E-BDD3-499E71C31CA5}" uniqueName="10" name="Median_Sale_Price" queryTableFieldId="10"/>
    <tableColumn id="11" xr3:uid="{32CBF3D0-54A5-0644-954C-DDE1698DD1F7}" uniqueName="11" name="Median_Sale_Price_YOY_Pct" queryTableFieldId="11"/>
    <tableColumn id="12" xr3:uid="{624DB271-78AC-F242-8F28-A01E0D20000A}" uniqueName="12" name="Median_Days_On_Market" queryTableFieldId="12"/>
    <tableColumn id="13" xr3:uid="{8F7A4880-4405-804D-8034-54EDA7CE685E}" uniqueName="13" name="Median_Days_On_Market_YOY_Pct" queryTableFieldId="13"/>
    <tableColumn id="14" xr3:uid="{A9D68F7A-6BA9-0145-86F7-4135F0A7B29A}" uniqueName="14" name="New_Listings" queryTableFieldId="14"/>
    <tableColumn id="15" xr3:uid="{8B89B04E-C165-6741-B2EE-141C2153D1A4}" uniqueName="15" name="New_Listings_YOY_Pct" queryTableFieldId="15"/>
    <tableColumn id="16" xr3:uid="{E8A2F6C1-AC16-A948-8432-A083DD344DD6}" uniqueName="16" name="Active_Listings" queryTableFieldId="16"/>
    <tableColumn id="17" xr3:uid="{0FD718E5-8527-AC45-85B8-F91BDA2F132A}" uniqueName="17" name="Active_Listings_YOY_Pct" queryTableFieldId="17"/>
    <tableColumn id="18" xr3:uid="{E25A9251-B883-3E40-A561-1857CB2BC3BC}" uniqueName="18" name="Pending_Sales" queryTableFieldId="18"/>
    <tableColumn id="19" xr3:uid="{2E2D8B85-F8DA-3446-A2C2-25C0BF1A56C5}" uniqueName="19" name="Pending_Sales_YOY_Pct" queryTableField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D1EEDD-E859-B145-B1AA-2C6461DD26EC}" name="Table5" displayName="Table5" ref="A3:S193" totalsRowShown="0">
  <autoFilter ref="A3:S193" xr:uid="{ABD1EEDD-E859-B145-B1AA-2C6461DD26EC}"/>
  <tableColumns count="19">
    <tableColumn id="1" xr3:uid="{90E90AA8-B0F7-D24C-A73A-1CD41120F1E3}" name="Period_Begin" dataDxfId="13"/>
    <tableColumn id="2" xr3:uid="{A556F800-5BD6-4745-AF8A-F70E7C48799A}" name="Period_End" dataDxfId="12"/>
    <tableColumn id="3" xr3:uid="{1AC4612F-8CC9-CA47-B0B5-F176E2EAE1A8}" name="Year"/>
    <tableColumn id="4" xr3:uid="{BB53B771-0824-B34C-8641-E5ED7A0EECC4}" name="Month"/>
    <tableColumn id="5" xr3:uid="{4B3DBB27-1324-1645-812D-35AD87AC0AAF}" name="Quarter"/>
    <tableColumn id="6" xr3:uid="{676E38AB-41AD-D84B-9607-2831BA60C0C3}" name="Frequency"/>
    <tableColumn id="7" xr3:uid="{FDE04E40-6001-8A47-8AAD-16EDAD040DE8}" name="City"/>
    <tableColumn id="8" xr3:uid="{30863721-1EC5-A645-BA02-6AE9DD507AF6}" name="Homes_Sold"/>
    <tableColumn id="9" xr3:uid="{4048FD50-28C9-A943-B4AD-8AB212940635}" name="Homes_Sold_YOY_Pct"/>
    <tableColumn id="10" xr3:uid="{7E83A0C1-9366-C446-82A0-680481E772C7}" name="Median_Sale_Price"/>
    <tableColumn id="11" xr3:uid="{2B34D7F5-246C-3F41-B2A5-C90F1071F030}" name="Median_Sale_Price_YOY_Pct"/>
    <tableColumn id="12" xr3:uid="{6D5F8857-705C-064B-BC3C-86E65EF02E62}" name="Median_Days_On_Market"/>
    <tableColumn id="13" xr3:uid="{A9EEF010-4F75-B74C-AA94-DC1E554D43A4}" name="Median_Days_On_Market_YOY_Pct"/>
    <tableColumn id="14" xr3:uid="{738A2241-0294-DC49-B381-6F95B8FB1E08}" name="New_Listings"/>
    <tableColumn id="15" xr3:uid="{A37D15D4-78C8-F347-8601-EA4CF8A8D367}" name="New_Listings_YOY_Pct"/>
    <tableColumn id="16" xr3:uid="{793AC05E-374F-744C-9938-F4919AD877C1}" name="Active_Listings"/>
    <tableColumn id="17" xr3:uid="{59D62B6A-146F-7749-B9FD-222EE2D6988A}" name="Active_Listings_YOY_Pct"/>
    <tableColumn id="18" xr3:uid="{96ED949E-C6AB-5041-AF34-0B5C3322D717}" name="Pending_Sales"/>
    <tableColumn id="19" xr3:uid="{3476DE93-0845-4048-8152-384EF2109321}" name="Pending_Sales_YOY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E0DD-E044-4446-A1FF-F5836DF43CDB}">
  <sheetPr>
    <tabColor theme="6" tint="0.39997558519241921"/>
  </sheetPr>
  <dimension ref="A1:S191"/>
  <sheetViews>
    <sheetView workbookViewId="0">
      <selection activeCell="A3" sqref="A3"/>
    </sheetView>
  </sheetViews>
  <sheetFormatPr baseColWidth="10" defaultRowHeight="16" x14ac:dyDescent="0.2"/>
  <cols>
    <col min="1" max="1" width="14.5" bestFit="1" customWidth="1"/>
    <col min="2" max="2" width="12.83203125" bestFit="1" customWidth="1"/>
    <col min="3" max="3" width="7.33203125" bestFit="1" customWidth="1"/>
    <col min="4" max="4" width="8.83203125" bestFit="1" customWidth="1"/>
    <col min="5" max="5" width="10" bestFit="1" customWidth="1"/>
    <col min="6" max="6" width="23" customWidth="1"/>
    <col min="7" max="7" width="9.1640625" bestFit="1" customWidth="1"/>
    <col min="8" max="8" width="14" bestFit="1" customWidth="1"/>
    <col min="9" max="9" width="22" bestFit="1" customWidth="1"/>
    <col min="10" max="10" width="19.33203125" bestFit="1" customWidth="1"/>
    <col min="11" max="11" width="27.33203125" bestFit="1" customWidth="1"/>
    <col min="12" max="12" width="24.83203125" bestFit="1" customWidth="1"/>
    <col min="13" max="13" width="32.83203125" bestFit="1" customWidth="1"/>
    <col min="14" max="14" width="14.83203125" bestFit="1" customWidth="1"/>
    <col min="15" max="15" width="22.83203125" bestFit="1" customWidth="1"/>
    <col min="16" max="16" width="16.33203125" bestFit="1" customWidth="1"/>
    <col min="17" max="17" width="24.5" bestFit="1" customWidth="1"/>
    <col min="18" max="18" width="15.6640625" bestFit="1" customWidth="1"/>
    <col min="19" max="19" width="23.6640625" bestFit="1" customWidth="1"/>
  </cols>
  <sheetData>
    <row r="1" spans="1:19" x14ac:dyDescent="0.2">
      <c r="A1" t="s">
        <v>10</v>
      </c>
      <c r="B1" t="s">
        <v>11</v>
      </c>
      <c r="C1" t="s">
        <v>7</v>
      </c>
      <c r="D1" t="s">
        <v>8</v>
      </c>
      <c r="E1" t="s">
        <v>9</v>
      </c>
      <c r="F1" t="s">
        <v>12</v>
      </c>
      <c r="G1" t="s">
        <v>6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 x14ac:dyDescent="0.2">
      <c r="A2" s="1">
        <v>44927</v>
      </c>
      <c r="B2" s="1">
        <v>45016</v>
      </c>
      <c r="C2">
        <v>2023</v>
      </c>
      <c r="D2">
        <v>1</v>
      </c>
      <c r="E2">
        <v>1</v>
      </c>
      <c r="F2" s="2" t="s">
        <v>5</v>
      </c>
      <c r="G2" s="2" t="s">
        <v>2</v>
      </c>
      <c r="H2">
        <v>36</v>
      </c>
      <c r="I2">
        <v>-55.56</v>
      </c>
      <c r="J2">
        <v>356750</v>
      </c>
      <c r="K2">
        <v>-12.46</v>
      </c>
      <c r="L2">
        <v>44</v>
      </c>
      <c r="M2">
        <v>3050</v>
      </c>
      <c r="N2">
        <v>43</v>
      </c>
      <c r="O2">
        <v>-56.12</v>
      </c>
      <c r="P2">
        <v>70</v>
      </c>
      <c r="Q2">
        <v>-41.18</v>
      </c>
      <c r="R2">
        <v>53</v>
      </c>
      <c r="S2">
        <v>-39.08</v>
      </c>
    </row>
    <row r="3" spans="1:19" x14ac:dyDescent="0.2">
      <c r="A3" s="1">
        <v>44958</v>
      </c>
      <c r="B3" s="1">
        <v>45046</v>
      </c>
      <c r="C3">
        <v>2023</v>
      </c>
      <c r="D3">
        <v>2</v>
      </c>
      <c r="E3">
        <v>1</v>
      </c>
      <c r="F3" s="2" t="s">
        <v>5</v>
      </c>
      <c r="G3" s="2" t="s">
        <v>2</v>
      </c>
      <c r="H3">
        <v>46</v>
      </c>
      <c r="I3">
        <v>-48.31</v>
      </c>
      <c r="J3">
        <v>363250</v>
      </c>
      <c r="K3">
        <v>-12.47</v>
      </c>
      <c r="L3">
        <v>18</v>
      </c>
      <c r="M3">
        <v>700</v>
      </c>
      <c r="N3">
        <v>53</v>
      </c>
      <c r="O3">
        <v>-47.52</v>
      </c>
      <c r="P3">
        <v>73</v>
      </c>
      <c r="Q3">
        <v>-38.659999999999997</v>
      </c>
      <c r="R3">
        <v>62</v>
      </c>
      <c r="S3">
        <v>-28.74</v>
      </c>
    </row>
    <row r="4" spans="1:19" x14ac:dyDescent="0.2">
      <c r="A4" s="1">
        <v>44986</v>
      </c>
      <c r="B4" s="1">
        <v>45077</v>
      </c>
      <c r="C4">
        <v>2023</v>
      </c>
      <c r="D4">
        <v>3</v>
      </c>
      <c r="E4">
        <v>1</v>
      </c>
      <c r="F4" s="2" t="s">
        <v>5</v>
      </c>
      <c r="G4" s="2" t="s">
        <v>2</v>
      </c>
      <c r="H4">
        <v>61</v>
      </c>
      <c r="I4">
        <v>-33.700000000000003</v>
      </c>
      <c r="J4">
        <v>375000</v>
      </c>
      <c r="K4">
        <v>-9.74</v>
      </c>
      <c r="L4">
        <v>12</v>
      </c>
      <c r="M4">
        <v>50</v>
      </c>
      <c r="N4">
        <v>65</v>
      </c>
      <c r="O4">
        <v>-40.909999999999997</v>
      </c>
      <c r="P4">
        <v>83</v>
      </c>
      <c r="Q4">
        <v>-38.06</v>
      </c>
      <c r="R4">
        <v>70</v>
      </c>
      <c r="S4">
        <v>-28.57</v>
      </c>
    </row>
    <row r="5" spans="1:19" x14ac:dyDescent="0.2">
      <c r="A5" s="1">
        <v>45017</v>
      </c>
      <c r="B5" s="1">
        <v>45107</v>
      </c>
      <c r="C5">
        <v>2023</v>
      </c>
      <c r="D5">
        <v>4</v>
      </c>
      <c r="E5">
        <v>2</v>
      </c>
      <c r="F5" s="2" t="s">
        <v>5</v>
      </c>
      <c r="G5" s="2" t="s">
        <v>2</v>
      </c>
      <c r="H5">
        <v>62</v>
      </c>
      <c r="I5">
        <v>-27.91</v>
      </c>
      <c r="J5">
        <v>399000</v>
      </c>
      <c r="K5">
        <v>-3.96</v>
      </c>
      <c r="L5">
        <v>10</v>
      </c>
      <c r="M5">
        <v>-400</v>
      </c>
      <c r="N5">
        <v>66</v>
      </c>
      <c r="O5">
        <v>-25</v>
      </c>
      <c r="P5">
        <v>86</v>
      </c>
      <c r="Q5">
        <v>-32.28</v>
      </c>
      <c r="R5">
        <v>68</v>
      </c>
      <c r="S5">
        <v>-13.92</v>
      </c>
    </row>
    <row r="6" spans="1:19" x14ac:dyDescent="0.2">
      <c r="A6" s="1">
        <v>45047</v>
      </c>
      <c r="B6" s="1">
        <v>45138</v>
      </c>
      <c r="C6">
        <v>2023</v>
      </c>
      <c r="D6">
        <v>5</v>
      </c>
      <c r="E6">
        <v>2</v>
      </c>
      <c r="F6" s="2" t="s">
        <v>5</v>
      </c>
      <c r="G6" s="2" t="s">
        <v>2</v>
      </c>
      <c r="H6">
        <v>55</v>
      </c>
      <c r="I6">
        <v>-17.91</v>
      </c>
      <c r="J6">
        <v>400000</v>
      </c>
      <c r="K6">
        <v>-1.23</v>
      </c>
      <c r="L6">
        <v>10</v>
      </c>
      <c r="M6">
        <v>-1100</v>
      </c>
      <c r="N6">
        <v>68</v>
      </c>
      <c r="O6">
        <v>-30.61</v>
      </c>
      <c r="P6">
        <v>84</v>
      </c>
      <c r="Q6">
        <v>-36.36</v>
      </c>
      <c r="R6">
        <v>56</v>
      </c>
      <c r="S6">
        <v>-24.32</v>
      </c>
    </row>
    <row r="7" spans="1:19" x14ac:dyDescent="0.2">
      <c r="A7" s="1">
        <v>45078</v>
      </c>
      <c r="B7" s="1">
        <v>45169</v>
      </c>
      <c r="C7">
        <v>2023</v>
      </c>
      <c r="D7">
        <v>6</v>
      </c>
      <c r="E7">
        <v>2</v>
      </c>
      <c r="F7" s="2" t="s">
        <v>5</v>
      </c>
      <c r="G7" s="2" t="s">
        <v>2</v>
      </c>
      <c r="H7">
        <v>52</v>
      </c>
      <c r="I7">
        <v>-17.46</v>
      </c>
      <c r="J7">
        <v>379000</v>
      </c>
      <c r="K7">
        <v>-0.26</v>
      </c>
      <c r="L7">
        <v>15</v>
      </c>
      <c r="M7">
        <v>-1350</v>
      </c>
      <c r="N7">
        <v>71</v>
      </c>
      <c r="O7">
        <v>-22.83</v>
      </c>
      <c r="P7">
        <v>91</v>
      </c>
      <c r="Q7">
        <v>-32.090000000000003</v>
      </c>
      <c r="R7">
        <v>55</v>
      </c>
      <c r="S7">
        <v>-28.57</v>
      </c>
    </row>
    <row r="8" spans="1:19" x14ac:dyDescent="0.2">
      <c r="A8" s="1">
        <v>45108</v>
      </c>
      <c r="B8" s="1">
        <v>45199</v>
      </c>
      <c r="C8">
        <v>2023</v>
      </c>
      <c r="D8">
        <v>7</v>
      </c>
      <c r="E8">
        <v>3</v>
      </c>
      <c r="F8" s="2" t="s">
        <v>5</v>
      </c>
      <c r="G8" s="2" t="s">
        <v>2</v>
      </c>
      <c r="H8">
        <v>53</v>
      </c>
      <c r="I8">
        <v>-18.46</v>
      </c>
      <c r="J8">
        <v>371500</v>
      </c>
      <c r="K8">
        <v>-0.13</v>
      </c>
      <c r="L8">
        <v>24</v>
      </c>
      <c r="M8">
        <v>-200</v>
      </c>
      <c r="N8">
        <v>61</v>
      </c>
      <c r="O8">
        <v>-28.24</v>
      </c>
      <c r="P8">
        <v>88</v>
      </c>
      <c r="Q8">
        <v>-35.770000000000003</v>
      </c>
      <c r="R8">
        <v>51</v>
      </c>
      <c r="S8">
        <v>-32.89</v>
      </c>
    </row>
    <row r="9" spans="1:19" x14ac:dyDescent="0.2">
      <c r="A9" s="1">
        <v>45139</v>
      </c>
      <c r="B9" s="1">
        <v>45230</v>
      </c>
      <c r="C9">
        <v>2023</v>
      </c>
      <c r="D9">
        <v>8</v>
      </c>
      <c r="E9">
        <v>3</v>
      </c>
      <c r="F9" s="2" t="s">
        <v>5</v>
      </c>
      <c r="G9" s="2" t="s">
        <v>2</v>
      </c>
      <c r="H9">
        <v>53</v>
      </c>
      <c r="I9">
        <v>-22.06</v>
      </c>
      <c r="J9">
        <v>384000</v>
      </c>
      <c r="K9">
        <v>2.4</v>
      </c>
      <c r="L9">
        <v>25</v>
      </c>
      <c r="M9">
        <v>-450</v>
      </c>
      <c r="N9">
        <v>60</v>
      </c>
      <c r="O9">
        <v>-13.04</v>
      </c>
      <c r="P9">
        <v>84</v>
      </c>
      <c r="Q9">
        <v>-33.86</v>
      </c>
      <c r="R9">
        <v>44</v>
      </c>
      <c r="S9">
        <v>-35.29</v>
      </c>
    </row>
    <row r="10" spans="1:19" x14ac:dyDescent="0.2">
      <c r="A10" s="1">
        <v>45170</v>
      </c>
      <c r="B10" s="1">
        <v>45260</v>
      </c>
      <c r="C10">
        <v>2023</v>
      </c>
      <c r="D10">
        <v>9</v>
      </c>
      <c r="E10">
        <v>3</v>
      </c>
      <c r="F10" s="2" t="s">
        <v>5</v>
      </c>
      <c r="G10" s="2" t="s">
        <v>2</v>
      </c>
      <c r="H10">
        <v>46</v>
      </c>
      <c r="I10">
        <v>-17.86</v>
      </c>
      <c r="J10">
        <v>387000</v>
      </c>
      <c r="K10">
        <v>3.2</v>
      </c>
      <c r="L10">
        <v>19</v>
      </c>
      <c r="M10">
        <v>-900</v>
      </c>
      <c r="N10">
        <v>48</v>
      </c>
      <c r="O10">
        <v>-15.79</v>
      </c>
      <c r="P10">
        <v>75</v>
      </c>
      <c r="Q10">
        <v>-31.19</v>
      </c>
      <c r="R10">
        <v>39</v>
      </c>
      <c r="S10">
        <v>-25</v>
      </c>
    </row>
    <row r="11" spans="1:19" x14ac:dyDescent="0.2">
      <c r="A11" s="1">
        <v>45200</v>
      </c>
      <c r="B11" s="1">
        <v>45291</v>
      </c>
      <c r="C11">
        <v>2023</v>
      </c>
      <c r="D11">
        <v>10</v>
      </c>
      <c r="E11">
        <v>4</v>
      </c>
      <c r="F11" s="2" t="s">
        <v>5</v>
      </c>
      <c r="G11" s="2" t="s">
        <v>2</v>
      </c>
      <c r="H11">
        <v>36</v>
      </c>
      <c r="I11">
        <v>-30.77</v>
      </c>
      <c r="J11">
        <v>391250</v>
      </c>
      <c r="K11">
        <v>7.12</v>
      </c>
      <c r="L11">
        <v>16</v>
      </c>
      <c r="M11">
        <v>-1150</v>
      </c>
      <c r="N11">
        <v>45</v>
      </c>
      <c r="O11">
        <v>15.38</v>
      </c>
      <c r="P11">
        <v>72</v>
      </c>
      <c r="Q11">
        <v>-20</v>
      </c>
      <c r="R11">
        <v>42</v>
      </c>
      <c r="S11">
        <v>-8.6999999999999993</v>
      </c>
    </row>
    <row r="12" spans="1:19" x14ac:dyDescent="0.2">
      <c r="A12" s="1">
        <v>45231</v>
      </c>
      <c r="B12" s="1">
        <v>45322</v>
      </c>
      <c r="C12">
        <v>2023</v>
      </c>
      <c r="D12">
        <v>11</v>
      </c>
      <c r="E12">
        <v>4</v>
      </c>
      <c r="F12" s="2" t="s">
        <v>5</v>
      </c>
      <c r="G12" s="2" t="s">
        <v>2</v>
      </c>
      <c r="H12">
        <v>37</v>
      </c>
      <c r="I12">
        <v>-13.95</v>
      </c>
      <c r="J12">
        <v>365000</v>
      </c>
      <c r="K12">
        <v>1.81</v>
      </c>
      <c r="L12">
        <v>18</v>
      </c>
      <c r="M12">
        <v>-1100</v>
      </c>
      <c r="N12">
        <v>45</v>
      </c>
      <c r="O12">
        <v>45.16</v>
      </c>
      <c r="P12">
        <v>76</v>
      </c>
      <c r="Q12">
        <v>-1.3</v>
      </c>
      <c r="R12">
        <v>43</v>
      </c>
      <c r="S12">
        <v>2.38</v>
      </c>
    </row>
    <row r="13" spans="1:19" x14ac:dyDescent="0.2">
      <c r="A13" s="1">
        <v>45261</v>
      </c>
      <c r="B13" s="1">
        <v>45351</v>
      </c>
      <c r="C13">
        <v>2023</v>
      </c>
      <c r="D13">
        <v>12</v>
      </c>
      <c r="E13">
        <v>4</v>
      </c>
      <c r="F13" s="2" t="s">
        <v>5</v>
      </c>
      <c r="G13" s="2" t="s">
        <v>2</v>
      </c>
      <c r="H13">
        <v>35</v>
      </c>
      <c r="I13">
        <v>-7.89</v>
      </c>
      <c r="J13">
        <v>372000</v>
      </c>
      <c r="K13">
        <v>6.29</v>
      </c>
      <c r="L13">
        <v>24</v>
      </c>
      <c r="M13">
        <v>-1800</v>
      </c>
      <c r="N13">
        <v>54</v>
      </c>
      <c r="O13">
        <v>107.69</v>
      </c>
      <c r="P13">
        <v>82</v>
      </c>
      <c r="Q13">
        <v>20.59</v>
      </c>
      <c r="R13">
        <v>54</v>
      </c>
      <c r="S13">
        <v>25.58</v>
      </c>
    </row>
    <row r="14" spans="1:19" x14ac:dyDescent="0.2">
      <c r="A14" s="1">
        <v>45292</v>
      </c>
      <c r="B14" s="1">
        <v>45382</v>
      </c>
      <c r="C14">
        <v>2024</v>
      </c>
      <c r="D14">
        <v>1</v>
      </c>
      <c r="E14">
        <v>1</v>
      </c>
      <c r="F14" s="2" t="s">
        <v>5</v>
      </c>
      <c r="G14" s="2" t="s">
        <v>2</v>
      </c>
      <c r="H14">
        <v>44</v>
      </c>
      <c r="I14">
        <v>22.22</v>
      </c>
      <c r="J14">
        <v>371000</v>
      </c>
      <c r="K14">
        <v>3.99</v>
      </c>
      <c r="L14">
        <v>23</v>
      </c>
      <c r="M14">
        <v>-2050</v>
      </c>
      <c r="N14">
        <v>76</v>
      </c>
      <c r="O14">
        <v>76.739999999999995</v>
      </c>
      <c r="P14">
        <v>106</v>
      </c>
      <c r="Q14">
        <v>51.43</v>
      </c>
      <c r="R14">
        <v>60</v>
      </c>
      <c r="S14">
        <v>13.21</v>
      </c>
    </row>
    <row r="15" spans="1:19" x14ac:dyDescent="0.2">
      <c r="A15" s="1">
        <v>45323</v>
      </c>
      <c r="B15" s="1">
        <v>45412</v>
      </c>
      <c r="C15">
        <v>2024</v>
      </c>
      <c r="D15">
        <v>2</v>
      </c>
      <c r="E15">
        <v>1</v>
      </c>
      <c r="F15" s="2" t="s">
        <v>5</v>
      </c>
      <c r="G15" s="2" t="s">
        <v>2</v>
      </c>
      <c r="H15">
        <v>61</v>
      </c>
      <c r="I15">
        <v>32.61</v>
      </c>
      <c r="J15">
        <v>375000</v>
      </c>
      <c r="K15">
        <v>3.23</v>
      </c>
      <c r="L15">
        <v>11</v>
      </c>
      <c r="M15">
        <v>-700</v>
      </c>
      <c r="N15">
        <v>83</v>
      </c>
      <c r="O15">
        <v>56.6</v>
      </c>
      <c r="P15">
        <v>113</v>
      </c>
      <c r="Q15">
        <v>54.79</v>
      </c>
      <c r="R15">
        <v>74</v>
      </c>
      <c r="S15">
        <v>19.350000000000001</v>
      </c>
    </row>
    <row r="16" spans="1:19" x14ac:dyDescent="0.2">
      <c r="A16" s="1">
        <v>45352</v>
      </c>
      <c r="B16" s="1">
        <v>45443</v>
      </c>
      <c r="C16">
        <v>2024</v>
      </c>
      <c r="D16">
        <v>3</v>
      </c>
      <c r="E16">
        <v>1</v>
      </c>
      <c r="F16" s="2" t="s">
        <v>5</v>
      </c>
      <c r="G16" s="2" t="s">
        <v>2</v>
      </c>
      <c r="H16">
        <v>65</v>
      </c>
      <c r="I16">
        <v>6.56</v>
      </c>
      <c r="J16">
        <v>400000</v>
      </c>
      <c r="K16">
        <v>6.67</v>
      </c>
      <c r="L16">
        <v>14</v>
      </c>
      <c r="M16">
        <v>200</v>
      </c>
      <c r="N16">
        <v>83</v>
      </c>
      <c r="O16">
        <v>27.69</v>
      </c>
      <c r="P16">
        <v>116</v>
      </c>
      <c r="Q16">
        <v>39.76</v>
      </c>
      <c r="R16">
        <v>73</v>
      </c>
      <c r="S16">
        <v>4.29</v>
      </c>
    </row>
    <row r="17" spans="1:19" x14ac:dyDescent="0.2">
      <c r="A17" s="1">
        <v>45383</v>
      </c>
      <c r="B17" s="1">
        <v>45473</v>
      </c>
      <c r="C17">
        <v>2024</v>
      </c>
      <c r="D17">
        <v>4</v>
      </c>
      <c r="E17">
        <v>2</v>
      </c>
      <c r="F17" s="2" t="s">
        <v>5</v>
      </c>
      <c r="G17" s="2" t="s">
        <v>2</v>
      </c>
      <c r="H17">
        <v>65</v>
      </c>
      <c r="I17">
        <v>4.84</v>
      </c>
      <c r="J17">
        <v>415000</v>
      </c>
      <c r="K17">
        <v>4.01</v>
      </c>
      <c r="L17">
        <v>20</v>
      </c>
      <c r="M17">
        <v>1000</v>
      </c>
      <c r="N17">
        <v>72</v>
      </c>
      <c r="O17">
        <v>9.09</v>
      </c>
      <c r="P17">
        <v>113</v>
      </c>
      <c r="Q17">
        <v>31.4</v>
      </c>
      <c r="R17">
        <v>76</v>
      </c>
      <c r="S17">
        <v>11.76</v>
      </c>
    </row>
    <row r="18" spans="1:19" x14ac:dyDescent="0.2">
      <c r="A18" s="1">
        <v>45413</v>
      </c>
      <c r="B18" s="1">
        <v>45504</v>
      </c>
      <c r="C18">
        <v>2024</v>
      </c>
      <c r="D18">
        <v>5</v>
      </c>
      <c r="E18">
        <v>2</v>
      </c>
      <c r="F18" s="2" t="s">
        <v>5</v>
      </c>
      <c r="G18" s="2" t="s">
        <v>2</v>
      </c>
      <c r="H18">
        <v>56</v>
      </c>
      <c r="I18">
        <v>1.82</v>
      </c>
      <c r="J18">
        <v>419000</v>
      </c>
      <c r="K18">
        <v>4.75</v>
      </c>
      <c r="L18">
        <v>33</v>
      </c>
      <c r="M18">
        <v>2300</v>
      </c>
      <c r="N18">
        <v>75</v>
      </c>
      <c r="O18">
        <v>10.29</v>
      </c>
      <c r="P18">
        <v>114</v>
      </c>
      <c r="Q18">
        <v>35.71</v>
      </c>
      <c r="R18">
        <v>70</v>
      </c>
      <c r="S18">
        <v>25</v>
      </c>
    </row>
    <row r="19" spans="1:19" x14ac:dyDescent="0.2">
      <c r="A19" s="1">
        <v>45444</v>
      </c>
      <c r="B19" s="1">
        <v>45535</v>
      </c>
      <c r="C19">
        <v>2024</v>
      </c>
      <c r="D19">
        <v>6</v>
      </c>
      <c r="E19">
        <v>2</v>
      </c>
      <c r="F19" s="2" t="s">
        <v>5</v>
      </c>
      <c r="G19" s="2" t="s">
        <v>2</v>
      </c>
      <c r="H19">
        <v>70</v>
      </c>
      <c r="I19">
        <v>34.619999999999997</v>
      </c>
      <c r="J19">
        <v>415000</v>
      </c>
      <c r="K19">
        <v>9.5</v>
      </c>
      <c r="L19">
        <v>32</v>
      </c>
      <c r="M19">
        <v>1750</v>
      </c>
      <c r="N19">
        <v>67</v>
      </c>
      <c r="O19">
        <v>-5.63</v>
      </c>
      <c r="P19">
        <v>105</v>
      </c>
      <c r="Q19">
        <v>15.38</v>
      </c>
      <c r="R19">
        <v>70</v>
      </c>
      <c r="S19">
        <v>27.27</v>
      </c>
    </row>
    <row r="20" spans="1:19" x14ac:dyDescent="0.2">
      <c r="A20" s="1">
        <v>45474</v>
      </c>
      <c r="B20" s="1">
        <v>45565</v>
      </c>
      <c r="C20">
        <v>2024</v>
      </c>
      <c r="D20">
        <v>7</v>
      </c>
      <c r="E20">
        <v>3</v>
      </c>
      <c r="F20" s="2" t="s">
        <v>5</v>
      </c>
      <c r="G20" s="2" t="s">
        <v>2</v>
      </c>
      <c r="H20">
        <v>69</v>
      </c>
      <c r="I20">
        <v>30.19</v>
      </c>
      <c r="J20">
        <v>407500</v>
      </c>
      <c r="K20">
        <v>9.69</v>
      </c>
      <c r="L20">
        <v>30</v>
      </c>
      <c r="M20">
        <v>600</v>
      </c>
      <c r="N20">
        <v>63</v>
      </c>
      <c r="O20">
        <v>3.28</v>
      </c>
      <c r="P20">
        <v>98</v>
      </c>
      <c r="Q20">
        <v>11.36</v>
      </c>
      <c r="R20">
        <v>59</v>
      </c>
      <c r="S20">
        <v>15.69</v>
      </c>
    </row>
    <row r="21" spans="1:19" x14ac:dyDescent="0.2">
      <c r="A21" s="1">
        <v>45505</v>
      </c>
      <c r="B21" s="1">
        <v>45596</v>
      </c>
      <c r="C21">
        <v>2024</v>
      </c>
      <c r="D21">
        <v>8</v>
      </c>
      <c r="E21">
        <v>3</v>
      </c>
      <c r="F21" s="2" t="s">
        <v>5</v>
      </c>
      <c r="G21" s="2" t="s">
        <v>2</v>
      </c>
      <c r="H21">
        <v>54</v>
      </c>
      <c r="I21">
        <v>1.89</v>
      </c>
      <c r="J21">
        <v>410000</v>
      </c>
      <c r="K21">
        <v>6.77</v>
      </c>
      <c r="L21">
        <v>22</v>
      </c>
      <c r="M21">
        <v>-300</v>
      </c>
      <c r="N21">
        <v>51</v>
      </c>
      <c r="O21">
        <v>-15</v>
      </c>
      <c r="P21">
        <v>95</v>
      </c>
      <c r="Q21">
        <v>13.1</v>
      </c>
      <c r="R21">
        <v>52</v>
      </c>
      <c r="S21">
        <v>18.18</v>
      </c>
    </row>
    <row r="22" spans="1:19" x14ac:dyDescent="0.2">
      <c r="A22" s="1">
        <v>45536</v>
      </c>
      <c r="B22" s="1">
        <v>45626</v>
      </c>
      <c r="C22">
        <v>2024</v>
      </c>
      <c r="D22">
        <v>9</v>
      </c>
      <c r="E22">
        <v>3</v>
      </c>
      <c r="F22" s="2" t="s">
        <v>5</v>
      </c>
      <c r="G22" s="2" t="s">
        <v>2</v>
      </c>
      <c r="H22">
        <v>42</v>
      </c>
      <c r="I22">
        <v>-8.6999999999999993</v>
      </c>
      <c r="J22">
        <v>400000</v>
      </c>
      <c r="K22">
        <v>3.36</v>
      </c>
      <c r="L22">
        <v>27</v>
      </c>
      <c r="M22">
        <v>850</v>
      </c>
      <c r="N22">
        <v>50</v>
      </c>
      <c r="O22">
        <v>4.17</v>
      </c>
      <c r="P22">
        <v>84</v>
      </c>
      <c r="Q22">
        <v>12</v>
      </c>
      <c r="R22">
        <v>48</v>
      </c>
      <c r="S22">
        <v>23.08</v>
      </c>
    </row>
    <row r="23" spans="1:19" x14ac:dyDescent="0.2">
      <c r="A23" s="1">
        <v>45566</v>
      </c>
      <c r="B23" s="1">
        <v>45657</v>
      </c>
      <c r="C23">
        <v>2024</v>
      </c>
      <c r="D23">
        <v>10</v>
      </c>
      <c r="E23">
        <v>4</v>
      </c>
      <c r="F23" s="2" t="s">
        <v>5</v>
      </c>
      <c r="G23" s="2" t="s">
        <v>2</v>
      </c>
      <c r="H23">
        <v>45</v>
      </c>
      <c r="I23">
        <v>25</v>
      </c>
      <c r="J23">
        <v>400000</v>
      </c>
      <c r="K23">
        <v>2.2400000000000002</v>
      </c>
      <c r="L23">
        <v>39</v>
      </c>
      <c r="M23">
        <v>2300</v>
      </c>
      <c r="N23">
        <v>47</v>
      </c>
      <c r="O23">
        <v>4.4400000000000004</v>
      </c>
      <c r="P23">
        <v>86</v>
      </c>
      <c r="Q23">
        <v>19.440000000000001</v>
      </c>
      <c r="R23">
        <v>48</v>
      </c>
      <c r="S23">
        <v>14.29</v>
      </c>
    </row>
    <row r="24" spans="1:19" x14ac:dyDescent="0.2">
      <c r="A24" s="1">
        <v>45597</v>
      </c>
      <c r="B24" s="1">
        <v>45688</v>
      </c>
      <c r="C24">
        <v>2024</v>
      </c>
      <c r="D24">
        <v>11</v>
      </c>
      <c r="E24">
        <v>4</v>
      </c>
      <c r="F24" s="2" t="s">
        <v>5</v>
      </c>
      <c r="G24" s="2" t="s">
        <v>2</v>
      </c>
      <c r="H24">
        <v>52</v>
      </c>
      <c r="I24">
        <v>40.54</v>
      </c>
      <c r="J24">
        <v>400000</v>
      </c>
      <c r="K24">
        <v>9.59</v>
      </c>
      <c r="L24">
        <v>41</v>
      </c>
      <c r="M24">
        <v>2250</v>
      </c>
      <c r="N24">
        <v>50</v>
      </c>
      <c r="O24">
        <v>11.11</v>
      </c>
      <c r="P24">
        <v>89</v>
      </c>
      <c r="Q24">
        <v>17.11</v>
      </c>
      <c r="R24">
        <v>56</v>
      </c>
      <c r="S24">
        <v>30.23</v>
      </c>
    </row>
    <row r="25" spans="1:19" x14ac:dyDescent="0.2">
      <c r="A25" s="1">
        <v>45627</v>
      </c>
      <c r="B25" s="1">
        <v>45716</v>
      </c>
      <c r="C25">
        <v>2024</v>
      </c>
      <c r="D25">
        <v>12</v>
      </c>
      <c r="E25">
        <v>4</v>
      </c>
      <c r="F25" s="2" t="s">
        <v>5</v>
      </c>
      <c r="G25" s="2" t="s">
        <v>2</v>
      </c>
      <c r="H25">
        <v>56</v>
      </c>
      <c r="I25">
        <v>60</v>
      </c>
      <c r="J25">
        <v>397500</v>
      </c>
      <c r="K25">
        <v>6.85</v>
      </c>
      <c r="L25">
        <v>41</v>
      </c>
      <c r="M25">
        <v>1650</v>
      </c>
      <c r="N25">
        <v>55</v>
      </c>
      <c r="O25">
        <v>1.85</v>
      </c>
      <c r="P25">
        <v>91</v>
      </c>
      <c r="Q25">
        <v>10.98</v>
      </c>
      <c r="R25">
        <v>62</v>
      </c>
      <c r="S25">
        <v>14.81</v>
      </c>
    </row>
    <row r="26" spans="1:19" x14ac:dyDescent="0.2">
      <c r="A26" s="1">
        <v>45658</v>
      </c>
      <c r="B26" s="1">
        <v>45747</v>
      </c>
      <c r="C26">
        <v>2025</v>
      </c>
      <c r="D26">
        <v>1</v>
      </c>
      <c r="E26">
        <v>1</v>
      </c>
      <c r="F26" s="2" t="s">
        <v>5</v>
      </c>
      <c r="G26" s="2" t="s">
        <v>2</v>
      </c>
      <c r="H26">
        <v>54</v>
      </c>
      <c r="I26">
        <v>22.73</v>
      </c>
      <c r="J26">
        <v>409750</v>
      </c>
      <c r="K26">
        <v>10.44</v>
      </c>
      <c r="L26">
        <v>32</v>
      </c>
      <c r="M26">
        <v>900</v>
      </c>
      <c r="N26">
        <v>58</v>
      </c>
      <c r="O26">
        <v>-23.68</v>
      </c>
      <c r="P26">
        <v>92</v>
      </c>
      <c r="Q26">
        <v>-13.21</v>
      </c>
      <c r="R26">
        <v>62</v>
      </c>
      <c r="S26">
        <v>3.33</v>
      </c>
    </row>
    <row r="27" spans="1:19" x14ac:dyDescent="0.2">
      <c r="A27" s="1">
        <v>45689</v>
      </c>
      <c r="B27" s="1">
        <v>45777</v>
      </c>
      <c r="C27">
        <v>2025</v>
      </c>
      <c r="D27">
        <v>2</v>
      </c>
      <c r="E27">
        <v>1</v>
      </c>
      <c r="F27" s="2" t="s">
        <v>5</v>
      </c>
      <c r="G27" s="2" t="s">
        <v>2</v>
      </c>
      <c r="H27">
        <v>59</v>
      </c>
      <c r="I27">
        <v>-3.28</v>
      </c>
      <c r="J27">
        <v>408000</v>
      </c>
      <c r="K27">
        <v>8.8000000000000007</v>
      </c>
      <c r="L27">
        <v>30</v>
      </c>
      <c r="M27">
        <v>1900</v>
      </c>
      <c r="N27">
        <v>64</v>
      </c>
      <c r="O27">
        <v>-22.89</v>
      </c>
      <c r="P27">
        <v>92</v>
      </c>
      <c r="Q27">
        <v>-18.579999999999998</v>
      </c>
      <c r="R27">
        <v>60</v>
      </c>
      <c r="S27">
        <v>-18.920000000000002</v>
      </c>
    </row>
    <row r="28" spans="1:19" x14ac:dyDescent="0.2">
      <c r="A28" s="1">
        <v>45717</v>
      </c>
      <c r="B28" s="1">
        <v>45808</v>
      </c>
      <c r="C28">
        <v>2025</v>
      </c>
      <c r="D28">
        <v>3</v>
      </c>
      <c r="E28">
        <v>1</v>
      </c>
      <c r="F28" s="2" t="s">
        <v>5</v>
      </c>
      <c r="G28" s="2" t="s">
        <v>2</v>
      </c>
      <c r="H28">
        <v>54</v>
      </c>
      <c r="I28">
        <v>-16.920000000000002</v>
      </c>
      <c r="J28">
        <v>425000</v>
      </c>
      <c r="K28">
        <v>6.25</v>
      </c>
      <c r="L28">
        <v>22</v>
      </c>
      <c r="M28">
        <v>750</v>
      </c>
      <c r="N28">
        <v>77</v>
      </c>
      <c r="O28">
        <v>-7.23</v>
      </c>
      <c r="P28">
        <v>101</v>
      </c>
      <c r="Q28">
        <v>-12.93</v>
      </c>
      <c r="R28">
        <v>57</v>
      </c>
      <c r="S28">
        <v>-21.92</v>
      </c>
    </row>
    <row r="29" spans="1:19" x14ac:dyDescent="0.2">
      <c r="A29" s="1">
        <v>45748</v>
      </c>
      <c r="B29" s="1">
        <v>45838</v>
      </c>
      <c r="C29">
        <v>2025</v>
      </c>
      <c r="D29">
        <v>4</v>
      </c>
      <c r="E29">
        <v>2</v>
      </c>
      <c r="F29" s="2" t="s">
        <v>5</v>
      </c>
      <c r="G29" s="2" t="s">
        <v>2</v>
      </c>
      <c r="H29">
        <v>47</v>
      </c>
      <c r="I29">
        <v>-27.69</v>
      </c>
      <c r="J29">
        <v>439000</v>
      </c>
      <c r="K29">
        <v>5.78</v>
      </c>
      <c r="L29">
        <v>24</v>
      </c>
      <c r="M29">
        <v>400</v>
      </c>
      <c r="N29">
        <v>83</v>
      </c>
      <c r="O29">
        <v>15.28</v>
      </c>
      <c r="P29">
        <v>114</v>
      </c>
      <c r="Q29">
        <v>0.88</v>
      </c>
      <c r="R29">
        <v>64</v>
      </c>
      <c r="S29">
        <v>-15.79</v>
      </c>
    </row>
    <row r="30" spans="1:19" x14ac:dyDescent="0.2">
      <c r="A30" s="1">
        <v>45778</v>
      </c>
      <c r="B30" s="1">
        <v>45869</v>
      </c>
      <c r="C30">
        <v>2025</v>
      </c>
      <c r="D30">
        <v>5</v>
      </c>
      <c r="E30">
        <v>2</v>
      </c>
      <c r="F30" s="2" t="s">
        <v>5</v>
      </c>
      <c r="G30" s="2" t="s">
        <v>2</v>
      </c>
      <c r="H30">
        <v>53</v>
      </c>
      <c r="I30">
        <v>-5.36</v>
      </c>
      <c r="J30">
        <v>455000</v>
      </c>
      <c r="K30">
        <v>8.59</v>
      </c>
      <c r="L30">
        <v>24</v>
      </c>
      <c r="M30">
        <v>-900</v>
      </c>
      <c r="N30">
        <v>77</v>
      </c>
      <c r="O30">
        <v>2.67</v>
      </c>
      <c r="P30">
        <v>111</v>
      </c>
      <c r="Q30">
        <v>-2.63</v>
      </c>
      <c r="R30">
        <v>59</v>
      </c>
      <c r="S30">
        <v>-15.71</v>
      </c>
    </row>
    <row r="31" spans="1:19" x14ac:dyDescent="0.2">
      <c r="A31" s="1">
        <v>45809</v>
      </c>
      <c r="B31" s="1">
        <v>45900</v>
      </c>
      <c r="C31">
        <v>2025</v>
      </c>
      <c r="D31">
        <v>6</v>
      </c>
      <c r="E31">
        <v>2</v>
      </c>
      <c r="F31" s="2" t="s">
        <v>5</v>
      </c>
      <c r="G31" s="2" t="s">
        <v>2</v>
      </c>
      <c r="H31">
        <v>56</v>
      </c>
      <c r="I31">
        <v>-20</v>
      </c>
      <c r="J31">
        <v>443500</v>
      </c>
      <c r="K31">
        <v>6.87</v>
      </c>
      <c r="L31">
        <v>34</v>
      </c>
      <c r="M31">
        <v>200</v>
      </c>
      <c r="N31">
        <v>60</v>
      </c>
      <c r="O31">
        <v>-10.45</v>
      </c>
      <c r="P31">
        <v>109</v>
      </c>
      <c r="Q31">
        <v>3.81</v>
      </c>
      <c r="R31">
        <v>58</v>
      </c>
      <c r="S31">
        <v>-17.14</v>
      </c>
    </row>
    <row r="32" spans="1:19" x14ac:dyDescent="0.2">
      <c r="A32" s="1">
        <v>45839</v>
      </c>
      <c r="B32" s="1">
        <v>45930</v>
      </c>
      <c r="C32">
        <v>2025</v>
      </c>
      <c r="D32">
        <v>7</v>
      </c>
      <c r="E32">
        <v>3</v>
      </c>
      <c r="F32" s="2" t="s">
        <v>5</v>
      </c>
      <c r="G32" s="2" t="s">
        <v>2</v>
      </c>
      <c r="H32">
        <v>54</v>
      </c>
      <c r="I32">
        <v>-21.74</v>
      </c>
      <c r="J32">
        <v>432500</v>
      </c>
      <c r="K32">
        <v>6.13</v>
      </c>
      <c r="L32">
        <v>34</v>
      </c>
      <c r="M32">
        <v>400</v>
      </c>
      <c r="N32">
        <v>58</v>
      </c>
      <c r="O32">
        <v>-7.94</v>
      </c>
      <c r="P32">
        <v>106</v>
      </c>
      <c r="Q32">
        <v>8.16</v>
      </c>
      <c r="R32">
        <v>56</v>
      </c>
      <c r="S32">
        <v>-5.08</v>
      </c>
    </row>
    <row r="33" spans="1:19" x14ac:dyDescent="0.2">
      <c r="A33" s="1">
        <v>45870</v>
      </c>
      <c r="B33" s="1">
        <v>45961</v>
      </c>
      <c r="C33">
        <v>2025</v>
      </c>
      <c r="D33">
        <v>8</v>
      </c>
      <c r="E33">
        <v>3</v>
      </c>
      <c r="F33" s="2" t="s">
        <v>5</v>
      </c>
      <c r="G33" s="2" t="s">
        <v>2</v>
      </c>
      <c r="H33">
        <v>51</v>
      </c>
      <c r="I33">
        <v>-5.56</v>
      </c>
      <c r="J33">
        <v>420000</v>
      </c>
      <c r="K33">
        <v>2.44</v>
      </c>
      <c r="L33">
        <v>45</v>
      </c>
      <c r="M33">
        <v>2250</v>
      </c>
      <c r="N33">
        <v>57</v>
      </c>
      <c r="O33">
        <v>11.76</v>
      </c>
      <c r="P33">
        <v>102</v>
      </c>
      <c r="Q33">
        <v>7.37</v>
      </c>
      <c r="R33">
        <v>51</v>
      </c>
      <c r="S33">
        <v>-1.92</v>
      </c>
    </row>
    <row r="34" spans="1:19" x14ac:dyDescent="0.2">
      <c r="A34" s="1">
        <v>45901</v>
      </c>
      <c r="B34" s="1">
        <v>45991</v>
      </c>
      <c r="C34">
        <v>2025</v>
      </c>
      <c r="D34">
        <v>9</v>
      </c>
      <c r="E34">
        <v>3</v>
      </c>
      <c r="F34" s="2" t="s">
        <v>5</v>
      </c>
      <c r="G34" s="2" t="s">
        <v>2</v>
      </c>
      <c r="H34">
        <v>43</v>
      </c>
      <c r="I34">
        <v>2.38</v>
      </c>
      <c r="J34">
        <v>412000</v>
      </c>
      <c r="K34">
        <v>3</v>
      </c>
      <c r="L34">
        <v>46</v>
      </c>
      <c r="M34">
        <v>1900</v>
      </c>
      <c r="N34">
        <v>63</v>
      </c>
      <c r="O34">
        <v>26</v>
      </c>
      <c r="P34">
        <v>105</v>
      </c>
      <c r="Q34">
        <v>25</v>
      </c>
      <c r="R34">
        <v>54</v>
      </c>
      <c r="S34">
        <v>12.5</v>
      </c>
    </row>
    <row r="35" spans="1:19" x14ac:dyDescent="0.2">
      <c r="A35" s="1">
        <v>45931</v>
      </c>
      <c r="B35" s="1">
        <v>46022</v>
      </c>
      <c r="C35">
        <v>2025</v>
      </c>
      <c r="D35">
        <v>10</v>
      </c>
      <c r="E35">
        <v>4</v>
      </c>
      <c r="F35" s="2" t="s">
        <v>5</v>
      </c>
      <c r="G35" s="2" t="s">
        <v>2</v>
      </c>
      <c r="H35">
        <v>56</v>
      </c>
      <c r="I35">
        <v>24.44</v>
      </c>
      <c r="J35">
        <v>410000</v>
      </c>
      <c r="K35">
        <v>2.5</v>
      </c>
      <c r="L35">
        <v>38</v>
      </c>
      <c r="M35">
        <v>-100</v>
      </c>
      <c r="N35">
        <v>52</v>
      </c>
      <c r="O35">
        <v>10.64</v>
      </c>
      <c r="P35">
        <v>98</v>
      </c>
      <c r="Q35">
        <v>13.95</v>
      </c>
      <c r="R35">
        <v>57</v>
      </c>
      <c r="S35">
        <v>18.75</v>
      </c>
    </row>
    <row r="36" spans="1:19" x14ac:dyDescent="0.2">
      <c r="A36" s="1">
        <v>45962</v>
      </c>
      <c r="B36" s="1">
        <v>46053</v>
      </c>
      <c r="C36">
        <v>2025</v>
      </c>
      <c r="D36">
        <v>11</v>
      </c>
      <c r="E36">
        <v>4</v>
      </c>
      <c r="F36" s="2" t="s">
        <v>5</v>
      </c>
      <c r="G36" s="2" t="s">
        <v>2</v>
      </c>
      <c r="H36">
        <v>45</v>
      </c>
      <c r="I36">
        <v>-13.46</v>
      </c>
      <c r="J36">
        <v>420000</v>
      </c>
      <c r="K36">
        <v>5</v>
      </c>
      <c r="L36">
        <v>28</v>
      </c>
      <c r="M36">
        <v>-1250</v>
      </c>
      <c r="N36">
        <v>49</v>
      </c>
      <c r="O36">
        <v>-2</v>
      </c>
      <c r="P36">
        <v>84</v>
      </c>
      <c r="Q36">
        <v>-5.62</v>
      </c>
      <c r="R36">
        <v>55</v>
      </c>
      <c r="S36">
        <v>-1.79</v>
      </c>
    </row>
    <row r="37" spans="1:19" x14ac:dyDescent="0.2">
      <c r="A37" s="1">
        <v>45992</v>
      </c>
      <c r="B37" s="1">
        <v>46081</v>
      </c>
      <c r="C37">
        <v>2025</v>
      </c>
      <c r="D37">
        <v>12</v>
      </c>
      <c r="E37">
        <v>4</v>
      </c>
      <c r="F37" s="2" t="s">
        <v>5</v>
      </c>
      <c r="G37" s="2" t="s">
        <v>2</v>
      </c>
      <c r="H37">
        <v>52</v>
      </c>
      <c r="I37">
        <v>-7.14</v>
      </c>
      <c r="J37">
        <v>412500</v>
      </c>
      <c r="K37">
        <v>3.77</v>
      </c>
      <c r="L37">
        <v>25</v>
      </c>
      <c r="M37">
        <v>-1550</v>
      </c>
      <c r="N37">
        <v>37</v>
      </c>
      <c r="O37">
        <v>-32.729999999999997</v>
      </c>
      <c r="P37">
        <v>76</v>
      </c>
      <c r="Q37">
        <v>-16.48</v>
      </c>
      <c r="R37">
        <v>52</v>
      </c>
      <c r="S37">
        <v>-16.13</v>
      </c>
    </row>
    <row r="38" spans="1:19" x14ac:dyDescent="0.2">
      <c r="A38" s="1">
        <v>46023</v>
      </c>
      <c r="B38" s="1">
        <v>46112</v>
      </c>
      <c r="C38">
        <v>2026</v>
      </c>
      <c r="D38">
        <v>1</v>
      </c>
      <c r="E38">
        <v>1</v>
      </c>
      <c r="F38" s="2" t="s">
        <v>5</v>
      </c>
      <c r="G38" s="2" t="s">
        <v>2</v>
      </c>
      <c r="H38">
        <v>44</v>
      </c>
      <c r="I38">
        <v>-18.52</v>
      </c>
      <c r="J38">
        <v>415000</v>
      </c>
      <c r="K38">
        <v>1.28</v>
      </c>
      <c r="L38">
        <v>29</v>
      </c>
      <c r="M38">
        <v>-300</v>
      </c>
      <c r="N38">
        <v>47</v>
      </c>
      <c r="O38">
        <v>-18.97</v>
      </c>
      <c r="P38">
        <v>81</v>
      </c>
      <c r="Q38">
        <v>-11.96</v>
      </c>
      <c r="R38">
        <v>43</v>
      </c>
      <c r="S38">
        <v>-30.65</v>
      </c>
    </row>
    <row r="39" spans="1:19" x14ac:dyDescent="0.2">
      <c r="A39" s="1">
        <v>46054</v>
      </c>
      <c r="B39" s="1">
        <v>46142</v>
      </c>
      <c r="C39">
        <v>2026</v>
      </c>
      <c r="D39">
        <v>2</v>
      </c>
      <c r="E39">
        <v>1</v>
      </c>
      <c r="F39" s="2" t="s">
        <v>5</v>
      </c>
      <c r="G39" s="2" t="s">
        <v>2</v>
      </c>
      <c r="H39">
        <v>45</v>
      </c>
      <c r="I39">
        <v>-23.67</v>
      </c>
      <c r="J39">
        <v>414786</v>
      </c>
      <c r="K39">
        <v>1.66</v>
      </c>
      <c r="L39">
        <v>29</v>
      </c>
      <c r="M39">
        <v>-95.62</v>
      </c>
      <c r="N39">
        <v>52</v>
      </c>
      <c r="O39">
        <v>-18.100000000000001</v>
      </c>
      <c r="P39">
        <v>86</v>
      </c>
      <c r="Q39">
        <v>-5.98</v>
      </c>
      <c r="R39">
        <v>47</v>
      </c>
      <c r="S39">
        <v>-20.99</v>
      </c>
    </row>
    <row r="40" spans="1:19" x14ac:dyDescent="0.2">
      <c r="A40" s="1">
        <v>44927</v>
      </c>
      <c r="B40" s="1">
        <v>45016</v>
      </c>
      <c r="C40">
        <v>2023</v>
      </c>
      <c r="D40">
        <v>1</v>
      </c>
      <c r="E40">
        <v>1</v>
      </c>
      <c r="F40" s="2" t="s">
        <v>5</v>
      </c>
      <c r="G40" s="2" t="s">
        <v>4</v>
      </c>
      <c r="H40">
        <v>7</v>
      </c>
      <c r="I40">
        <v>-56.25</v>
      </c>
      <c r="J40">
        <v>520000</v>
      </c>
      <c r="K40">
        <v>17.510000000000002</v>
      </c>
      <c r="L40">
        <v>35</v>
      </c>
      <c r="M40">
        <v>1050</v>
      </c>
      <c r="N40">
        <v>11</v>
      </c>
      <c r="O40">
        <v>-26.67</v>
      </c>
      <c r="P40">
        <v>17</v>
      </c>
      <c r="Q40">
        <v>-10.53</v>
      </c>
      <c r="R40">
        <v>13</v>
      </c>
      <c r="S40">
        <v>-18.75</v>
      </c>
    </row>
    <row r="41" spans="1:19" x14ac:dyDescent="0.2">
      <c r="A41" s="1">
        <v>44958</v>
      </c>
      <c r="B41" s="1">
        <v>45046</v>
      </c>
      <c r="C41">
        <v>2023</v>
      </c>
      <c r="D41">
        <v>2</v>
      </c>
      <c r="E41">
        <v>1</v>
      </c>
      <c r="F41" s="2" t="s">
        <v>5</v>
      </c>
      <c r="G41" s="2" t="s">
        <v>4</v>
      </c>
      <c r="H41">
        <v>7</v>
      </c>
      <c r="I41">
        <v>-61.11</v>
      </c>
      <c r="J41">
        <v>470000</v>
      </c>
      <c r="K41">
        <v>2.62</v>
      </c>
      <c r="L41">
        <v>52</v>
      </c>
      <c r="M41">
        <v>2700</v>
      </c>
      <c r="N41">
        <v>11</v>
      </c>
      <c r="O41">
        <v>-31.25</v>
      </c>
      <c r="P41">
        <v>18</v>
      </c>
      <c r="Q41">
        <v>0</v>
      </c>
      <c r="R41">
        <v>14</v>
      </c>
      <c r="S41">
        <v>16.670000000000002</v>
      </c>
    </row>
    <row r="42" spans="1:19" x14ac:dyDescent="0.2">
      <c r="A42" s="1">
        <v>44986</v>
      </c>
      <c r="B42" s="1">
        <v>45077</v>
      </c>
      <c r="C42">
        <v>2023</v>
      </c>
      <c r="D42">
        <v>3</v>
      </c>
      <c r="E42">
        <v>1</v>
      </c>
      <c r="F42" s="2" t="s">
        <v>5</v>
      </c>
      <c r="G42" s="2" t="s">
        <v>4</v>
      </c>
      <c r="H42">
        <v>13</v>
      </c>
      <c r="I42">
        <v>62.5</v>
      </c>
      <c r="J42">
        <v>500000</v>
      </c>
      <c r="K42">
        <v>6.84</v>
      </c>
      <c r="L42">
        <v>14</v>
      </c>
      <c r="M42">
        <v>-350</v>
      </c>
      <c r="N42">
        <v>20</v>
      </c>
      <c r="O42">
        <v>33.33</v>
      </c>
      <c r="P42">
        <v>28</v>
      </c>
      <c r="Q42">
        <v>75</v>
      </c>
      <c r="R42">
        <v>21</v>
      </c>
      <c r="S42">
        <v>162.5</v>
      </c>
    </row>
    <row r="43" spans="1:19" x14ac:dyDescent="0.2">
      <c r="A43" s="1">
        <v>45017</v>
      </c>
      <c r="B43" s="1">
        <v>45107</v>
      </c>
      <c r="C43">
        <v>2023</v>
      </c>
      <c r="D43">
        <v>4</v>
      </c>
      <c r="E43">
        <v>2</v>
      </c>
      <c r="F43" s="2" t="s">
        <v>5</v>
      </c>
      <c r="G43" s="2" t="s">
        <v>4</v>
      </c>
      <c r="H43">
        <v>17</v>
      </c>
      <c r="I43">
        <v>70</v>
      </c>
      <c r="J43">
        <v>485000</v>
      </c>
      <c r="K43">
        <v>1.57</v>
      </c>
      <c r="L43">
        <v>10</v>
      </c>
      <c r="M43">
        <v>-1500</v>
      </c>
      <c r="N43">
        <v>26</v>
      </c>
      <c r="O43">
        <v>100</v>
      </c>
      <c r="P43">
        <v>34</v>
      </c>
      <c r="Q43">
        <v>88.89</v>
      </c>
      <c r="R43">
        <v>23</v>
      </c>
      <c r="S43">
        <v>187.5</v>
      </c>
    </row>
    <row r="44" spans="1:19" x14ac:dyDescent="0.2">
      <c r="A44" s="1">
        <v>45047</v>
      </c>
      <c r="B44" s="1">
        <v>45138</v>
      </c>
      <c r="C44">
        <v>2023</v>
      </c>
      <c r="D44">
        <v>5</v>
      </c>
      <c r="E44">
        <v>2</v>
      </c>
      <c r="F44" s="2" t="s">
        <v>5</v>
      </c>
      <c r="G44" s="2" t="s">
        <v>4</v>
      </c>
      <c r="H44">
        <v>17</v>
      </c>
      <c r="I44">
        <v>142.86000000000001</v>
      </c>
      <c r="J44">
        <v>485000</v>
      </c>
      <c r="K44">
        <v>4.3</v>
      </c>
      <c r="L44">
        <v>10</v>
      </c>
      <c r="M44">
        <v>-150</v>
      </c>
      <c r="N44">
        <v>25</v>
      </c>
      <c r="O44">
        <v>92.31</v>
      </c>
      <c r="P44">
        <v>30</v>
      </c>
      <c r="Q44">
        <v>42.86</v>
      </c>
      <c r="R44">
        <v>18</v>
      </c>
      <c r="S44">
        <v>100</v>
      </c>
    </row>
    <row r="45" spans="1:19" x14ac:dyDescent="0.2">
      <c r="A45" s="1">
        <v>45078</v>
      </c>
      <c r="B45" s="1">
        <v>45169</v>
      </c>
      <c r="C45">
        <v>2023</v>
      </c>
      <c r="D45">
        <v>6</v>
      </c>
      <c r="E45">
        <v>2</v>
      </c>
      <c r="F45" s="2" t="s">
        <v>5</v>
      </c>
      <c r="G45" s="2" t="s">
        <v>4</v>
      </c>
      <c r="H45">
        <v>11</v>
      </c>
      <c r="I45">
        <v>10</v>
      </c>
      <c r="J45">
        <v>440000</v>
      </c>
      <c r="K45">
        <v>-6.88</v>
      </c>
      <c r="L45">
        <v>9</v>
      </c>
      <c r="M45">
        <v>-3500</v>
      </c>
      <c r="N45">
        <v>17</v>
      </c>
      <c r="O45">
        <v>54.55</v>
      </c>
      <c r="P45">
        <v>27</v>
      </c>
      <c r="Q45">
        <v>42.11</v>
      </c>
      <c r="R45">
        <v>14</v>
      </c>
      <c r="S45">
        <v>27.27</v>
      </c>
    </row>
    <row r="46" spans="1:19" x14ac:dyDescent="0.2">
      <c r="A46" s="1">
        <v>45108</v>
      </c>
      <c r="B46" s="1">
        <v>45199</v>
      </c>
      <c r="C46">
        <v>2023</v>
      </c>
      <c r="D46">
        <v>7</v>
      </c>
      <c r="E46">
        <v>3</v>
      </c>
      <c r="F46" s="2" t="s">
        <v>5</v>
      </c>
      <c r="G46" s="2" t="s">
        <v>4</v>
      </c>
      <c r="H46">
        <v>10</v>
      </c>
      <c r="I46">
        <v>0</v>
      </c>
      <c r="J46">
        <v>455000</v>
      </c>
      <c r="K46">
        <v>4.5999999999999996</v>
      </c>
      <c r="L46">
        <v>24</v>
      </c>
      <c r="M46">
        <v>-1700</v>
      </c>
      <c r="N46">
        <v>14</v>
      </c>
      <c r="O46">
        <v>75</v>
      </c>
      <c r="P46">
        <v>25</v>
      </c>
      <c r="Q46">
        <v>38.89</v>
      </c>
      <c r="R46">
        <v>11</v>
      </c>
      <c r="S46">
        <v>0</v>
      </c>
    </row>
    <row r="47" spans="1:19" x14ac:dyDescent="0.2">
      <c r="A47" s="1">
        <v>45139</v>
      </c>
      <c r="B47" s="1">
        <v>45230</v>
      </c>
      <c r="C47">
        <v>2023</v>
      </c>
      <c r="D47">
        <v>8</v>
      </c>
      <c r="E47">
        <v>3</v>
      </c>
      <c r="F47" s="2" t="s">
        <v>5</v>
      </c>
      <c r="G47" s="2" t="s">
        <v>4</v>
      </c>
      <c r="H47">
        <v>13</v>
      </c>
      <c r="I47">
        <v>8.33</v>
      </c>
      <c r="J47">
        <v>470000</v>
      </c>
      <c r="K47">
        <v>6.82</v>
      </c>
      <c r="L47">
        <v>19</v>
      </c>
      <c r="M47">
        <v>-3000</v>
      </c>
      <c r="N47">
        <v>14</v>
      </c>
      <c r="O47">
        <v>75</v>
      </c>
      <c r="P47">
        <v>24</v>
      </c>
      <c r="Q47">
        <v>26.32</v>
      </c>
      <c r="R47">
        <v>16</v>
      </c>
      <c r="S47">
        <v>33.33</v>
      </c>
    </row>
    <row r="48" spans="1:19" x14ac:dyDescent="0.2">
      <c r="A48" s="1">
        <v>45170</v>
      </c>
      <c r="B48" s="1">
        <v>45260</v>
      </c>
      <c r="C48">
        <v>2023</v>
      </c>
      <c r="D48">
        <v>9</v>
      </c>
      <c r="E48">
        <v>3</v>
      </c>
      <c r="F48" s="2" t="s">
        <v>5</v>
      </c>
      <c r="G48" s="2" t="s">
        <v>4</v>
      </c>
      <c r="H48">
        <v>16</v>
      </c>
      <c r="I48">
        <v>60</v>
      </c>
      <c r="J48">
        <v>426750</v>
      </c>
      <c r="K48">
        <v>-2.46</v>
      </c>
      <c r="L48">
        <v>24</v>
      </c>
      <c r="M48">
        <v>-750</v>
      </c>
      <c r="N48">
        <v>11</v>
      </c>
      <c r="O48">
        <v>0</v>
      </c>
      <c r="P48">
        <v>20</v>
      </c>
      <c r="Q48">
        <v>17.649999999999999</v>
      </c>
      <c r="R48">
        <v>12</v>
      </c>
      <c r="S48">
        <v>33.33</v>
      </c>
    </row>
    <row r="49" spans="1:19" x14ac:dyDescent="0.2">
      <c r="A49" s="1">
        <v>45200</v>
      </c>
      <c r="B49" s="1">
        <v>45291</v>
      </c>
      <c r="C49">
        <v>2023</v>
      </c>
      <c r="D49">
        <v>10</v>
      </c>
      <c r="E49">
        <v>4</v>
      </c>
      <c r="F49" s="2" t="s">
        <v>5</v>
      </c>
      <c r="G49" s="2" t="s">
        <v>4</v>
      </c>
      <c r="H49">
        <v>14</v>
      </c>
      <c r="I49">
        <v>75</v>
      </c>
      <c r="J49">
        <v>429500</v>
      </c>
      <c r="K49">
        <v>-6.12</v>
      </c>
      <c r="L49">
        <v>22</v>
      </c>
      <c r="M49">
        <v>-1750</v>
      </c>
      <c r="N49">
        <v>5</v>
      </c>
      <c r="O49">
        <v>-50</v>
      </c>
      <c r="P49">
        <v>17</v>
      </c>
      <c r="Q49">
        <v>13.33</v>
      </c>
      <c r="R49">
        <v>10</v>
      </c>
      <c r="S49">
        <v>66.67</v>
      </c>
    </row>
    <row r="50" spans="1:19" x14ac:dyDescent="0.2">
      <c r="A50" s="1">
        <v>45231</v>
      </c>
      <c r="B50" s="1">
        <v>45322</v>
      </c>
      <c r="C50">
        <v>2023</v>
      </c>
      <c r="D50">
        <v>11</v>
      </c>
      <c r="E50">
        <v>4</v>
      </c>
      <c r="F50" s="2" t="s">
        <v>5</v>
      </c>
      <c r="G50" s="2" t="s">
        <v>4</v>
      </c>
      <c r="H50">
        <v>10</v>
      </c>
      <c r="I50">
        <v>42.86</v>
      </c>
      <c r="J50">
        <v>415000</v>
      </c>
      <c r="K50">
        <v>-17</v>
      </c>
      <c r="L50">
        <v>27</v>
      </c>
      <c r="M50">
        <v>1650</v>
      </c>
      <c r="N50">
        <v>2</v>
      </c>
      <c r="O50">
        <v>-80</v>
      </c>
      <c r="P50">
        <v>10</v>
      </c>
      <c r="Q50">
        <v>-41.18</v>
      </c>
      <c r="R50">
        <v>7</v>
      </c>
      <c r="S50">
        <v>-22.22</v>
      </c>
    </row>
    <row r="51" spans="1:19" x14ac:dyDescent="0.2">
      <c r="A51" s="1">
        <v>45261</v>
      </c>
      <c r="B51" s="1">
        <v>45351</v>
      </c>
      <c r="C51">
        <v>2023</v>
      </c>
      <c r="D51">
        <v>12</v>
      </c>
      <c r="E51">
        <v>4</v>
      </c>
      <c r="F51" s="2" t="s">
        <v>5</v>
      </c>
      <c r="G51" s="2" t="s">
        <v>4</v>
      </c>
      <c r="H51">
        <v>6</v>
      </c>
      <c r="I51">
        <v>-14.29</v>
      </c>
      <c r="J51">
        <v>564153</v>
      </c>
      <c r="K51">
        <v>21.32</v>
      </c>
      <c r="L51">
        <v>41</v>
      </c>
      <c r="M51">
        <v>400</v>
      </c>
      <c r="N51">
        <v>6</v>
      </c>
      <c r="O51">
        <v>-33.33</v>
      </c>
      <c r="P51">
        <v>12</v>
      </c>
      <c r="Q51">
        <v>-33.33</v>
      </c>
      <c r="R51">
        <v>6</v>
      </c>
      <c r="S51">
        <v>-40</v>
      </c>
    </row>
    <row r="52" spans="1:19" x14ac:dyDescent="0.2">
      <c r="A52" s="1">
        <v>45292</v>
      </c>
      <c r="B52" s="1">
        <v>45382</v>
      </c>
      <c r="C52">
        <v>2024</v>
      </c>
      <c r="D52">
        <v>1</v>
      </c>
      <c r="E52">
        <v>1</v>
      </c>
      <c r="F52" s="2" t="s">
        <v>5</v>
      </c>
      <c r="G52" s="2" t="s">
        <v>4</v>
      </c>
      <c r="H52">
        <v>7</v>
      </c>
      <c r="I52">
        <v>0</v>
      </c>
      <c r="J52">
        <v>560000</v>
      </c>
      <c r="K52">
        <v>7.69</v>
      </c>
      <c r="L52">
        <v>85</v>
      </c>
      <c r="M52">
        <v>5000</v>
      </c>
      <c r="N52">
        <v>7</v>
      </c>
      <c r="O52">
        <v>-36.36</v>
      </c>
      <c r="P52">
        <v>13</v>
      </c>
      <c r="Q52">
        <v>-23.53</v>
      </c>
      <c r="R52">
        <v>7</v>
      </c>
      <c r="S52">
        <v>-46.15</v>
      </c>
    </row>
    <row r="53" spans="1:19" x14ac:dyDescent="0.2">
      <c r="A53" s="1">
        <v>45323</v>
      </c>
      <c r="B53" s="1">
        <v>45412</v>
      </c>
      <c r="C53">
        <v>2024</v>
      </c>
      <c r="D53">
        <v>2</v>
      </c>
      <c r="E53">
        <v>1</v>
      </c>
      <c r="F53" s="2" t="s">
        <v>5</v>
      </c>
      <c r="G53" s="2" t="s">
        <v>4</v>
      </c>
      <c r="H53">
        <v>8</v>
      </c>
      <c r="I53">
        <v>14.29</v>
      </c>
      <c r="J53">
        <v>537500</v>
      </c>
      <c r="K53">
        <v>14.36</v>
      </c>
      <c r="L53">
        <v>13</v>
      </c>
      <c r="M53">
        <v>-3900</v>
      </c>
      <c r="N53">
        <v>9</v>
      </c>
      <c r="O53">
        <v>-18.18</v>
      </c>
      <c r="P53">
        <v>12</v>
      </c>
      <c r="Q53">
        <v>-33.33</v>
      </c>
      <c r="R53">
        <v>7</v>
      </c>
      <c r="S53">
        <v>-50</v>
      </c>
    </row>
    <row r="54" spans="1:19" x14ac:dyDescent="0.2">
      <c r="A54" s="1">
        <v>45352</v>
      </c>
      <c r="B54" s="1">
        <v>45443</v>
      </c>
      <c r="C54">
        <v>2024</v>
      </c>
      <c r="D54">
        <v>3</v>
      </c>
      <c r="E54">
        <v>1</v>
      </c>
      <c r="F54" s="2" t="s">
        <v>5</v>
      </c>
      <c r="G54" s="2" t="s">
        <v>4</v>
      </c>
      <c r="H54">
        <v>9</v>
      </c>
      <c r="I54">
        <v>-30.77</v>
      </c>
      <c r="J54">
        <v>700000</v>
      </c>
      <c r="K54">
        <v>40</v>
      </c>
      <c r="L54">
        <v>48</v>
      </c>
      <c r="M54">
        <v>3400</v>
      </c>
      <c r="N54">
        <v>6</v>
      </c>
      <c r="O54">
        <v>-70</v>
      </c>
      <c r="P54">
        <v>11</v>
      </c>
      <c r="Q54">
        <v>-60.71</v>
      </c>
      <c r="R54">
        <v>9</v>
      </c>
      <c r="S54">
        <v>-57.14</v>
      </c>
    </row>
    <row r="55" spans="1:19" x14ac:dyDescent="0.2">
      <c r="A55" s="1">
        <v>45383</v>
      </c>
      <c r="B55" s="1">
        <v>45473</v>
      </c>
      <c r="C55">
        <v>2024</v>
      </c>
      <c r="D55">
        <v>4</v>
      </c>
      <c r="E55">
        <v>2</v>
      </c>
      <c r="F55" s="2" t="s">
        <v>5</v>
      </c>
      <c r="G55" s="2" t="s">
        <v>4</v>
      </c>
      <c r="H55">
        <v>7</v>
      </c>
      <c r="I55">
        <v>-58.82</v>
      </c>
      <c r="J55">
        <v>700000</v>
      </c>
      <c r="K55">
        <v>44.33</v>
      </c>
      <c r="L55">
        <v>18</v>
      </c>
      <c r="M55">
        <v>750</v>
      </c>
      <c r="N55">
        <v>7</v>
      </c>
      <c r="O55">
        <v>-73.08</v>
      </c>
      <c r="P55">
        <v>11</v>
      </c>
      <c r="Q55">
        <v>-67.650000000000006</v>
      </c>
      <c r="R55">
        <v>9</v>
      </c>
      <c r="S55">
        <v>-60.87</v>
      </c>
    </row>
    <row r="56" spans="1:19" x14ac:dyDescent="0.2">
      <c r="A56" s="1">
        <v>45413</v>
      </c>
      <c r="B56" s="1">
        <v>45504</v>
      </c>
      <c r="C56">
        <v>2024</v>
      </c>
      <c r="D56">
        <v>5</v>
      </c>
      <c r="E56">
        <v>2</v>
      </c>
      <c r="F56" s="2" t="s">
        <v>5</v>
      </c>
      <c r="G56" s="2" t="s">
        <v>4</v>
      </c>
      <c r="H56">
        <v>7</v>
      </c>
      <c r="I56">
        <v>-58.82</v>
      </c>
      <c r="J56">
        <v>598900</v>
      </c>
      <c r="K56">
        <v>23.48</v>
      </c>
      <c r="L56">
        <v>49</v>
      </c>
      <c r="M56">
        <v>3950</v>
      </c>
      <c r="N56">
        <v>10</v>
      </c>
      <c r="O56">
        <v>-60</v>
      </c>
      <c r="P56">
        <v>16</v>
      </c>
      <c r="Q56">
        <v>-46.67</v>
      </c>
      <c r="R56">
        <v>9</v>
      </c>
      <c r="S56">
        <v>-50</v>
      </c>
    </row>
    <row r="57" spans="1:19" x14ac:dyDescent="0.2">
      <c r="A57" s="1">
        <v>45444</v>
      </c>
      <c r="B57" s="1">
        <v>45535</v>
      </c>
      <c r="C57">
        <v>2024</v>
      </c>
      <c r="D57">
        <v>6</v>
      </c>
      <c r="E57">
        <v>2</v>
      </c>
      <c r="F57" s="2" t="s">
        <v>5</v>
      </c>
      <c r="G57" s="2" t="s">
        <v>4</v>
      </c>
      <c r="H57">
        <v>10</v>
      </c>
      <c r="I57">
        <v>-9.09</v>
      </c>
      <c r="J57">
        <v>477500</v>
      </c>
      <c r="K57">
        <v>8.52</v>
      </c>
      <c r="L57">
        <v>13</v>
      </c>
      <c r="M57">
        <v>350</v>
      </c>
      <c r="N57">
        <v>13</v>
      </c>
      <c r="O57">
        <v>-23.53</v>
      </c>
      <c r="P57">
        <v>18</v>
      </c>
      <c r="Q57">
        <v>-33.33</v>
      </c>
      <c r="R57">
        <v>10</v>
      </c>
      <c r="S57">
        <v>-28.57</v>
      </c>
    </row>
    <row r="58" spans="1:19" x14ac:dyDescent="0.2">
      <c r="A58" s="1">
        <v>45474</v>
      </c>
      <c r="B58" s="1">
        <v>45565</v>
      </c>
      <c r="C58">
        <v>2024</v>
      </c>
      <c r="D58">
        <v>7</v>
      </c>
      <c r="E58">
        <v>3</v>
      </c>
      <c r="F58" s="2" t="s">
        <v>5</v>
      </c>
      <c r="G58" s="2" t="s">
        <v>4</v>
      </c>
      <c r="H58">
        <v>10</v>
      </c>
      <c r="I58">
        <v>0</v>
      </c>
      <c r="J58">
        <v>477500</v>
      </c>
      <c r="K58">
        <v>4.95</v>
      </c>
      <c r="L58">
        <v>13</v>
      </c>
      <c r="M58">
        <v>-1150</v>
      </c>
      <c r="N58">
        <v>18</v>
      </c>
      <c r="O58">
        <v>28.57</v>
      </c>
      <c r="P58">
        <v>24</v>
      </c>
      <c r="Q58">
        <v>-4</v>
      </c>
      <c r="R58">
        <v>10</v>
      </c>
      <c r="S58">
        <v>-9.09</v>
      </c>
    </row>
    <row r="59" spans="1:19" x14ac:dyDescent="0.2">
      <c r="A59" s="1">
        <v>45505</v>
      </c>
      <c r="B59" s="1">
        <v>45596</v>
      </c>
      <c r="C59">
        <v>2024</v>
      </c>
      <c r="D59">
        <v>8</v>
      </c>
      <c r="E59">
        <v>3</v>
      </c>
      <c r="F59" s="2" t="s">
        <v>5</v>
      </c>
      <c r="G59" s="2" t="s">
        <v>4</v>
      </c>
      <c r="H59">
        <v>11</v>
      </c>
      <c r="I59">
        <v>-15.38</v>
      </c>
      <c r="J59">
        <v>475000</v>
      </c>
      <c r="K59">
        <v>1.06</v>
      </c>
      <c r="L59">
        <v>12</v>
      </c>
      <c r="M59">
        <v>-700</v>
      </c>
      <c r="N59">
        <v>15</v>
      </c>
      <c r="O59">
        <v>7.14</v>
      </c>
      <c r="P59">
        <v>24</v>
      </c>
      <c r="Q59">
        <v>0</v>
      </c>
      <c r="R59">
        <v>13</v>
      </c>
      <c r="S59">
        <v>-18.75</v>
      </c>
    </row>
    <row r="60" spans="1:19" x14ac:dyDescent="0.2">
      <c r="A60" s="1">
        <v>45536</v>
      </c>
      <c r="B60" s="1">
        <v>45626</v>
      </c>
      <c r="C60">
        <v>2024</v>
      </c>
      <c r="D60">
        <v>9</v>
      </c>
      <c r="E60">
        <v>3</v>
      </c>
      <c r="F60" s="2" t="s">
        <v>5</v>
      </c>
      <c r="G60" s="2" t="s">
        <v>4</v>
      </c>
      <c r="H60">
        <v>8</v>
      </c>
      <c r="I60">
        <v>-50</v>
      </c>
      <c r="J60">
        <v>477250</v>
      </c>
      <c r="K60">
        <v>11.83</v>
      </c>
      <c r="L60">
        <v>18</v>
      </c>
      <c r="M60">
        <v>-600</v>
      </c>
      <c r="N60">
        <v>13</v>
      </c>
      <c r="O60">
        <v>18.18</v>
      </c>
      <c r="P60">
        <v>21</v>
      </c>
      <c r="Q60">
        <v>5</v>
      </c>
      <c r="R60">
        <v>13</v>
      </c>
      <c r="S60">
        <v>8.33</v>
      </c>
    </row>
    <row r="61" spans="1:19" x14ac:dyDescent="0.2">
      <c r="A61" s="1">
        <v>45566</v>
      </c>
      <c r="B61" s="1">
        <v>45657</v>
      </c>
      <c r="C61">
        <v>2024</v>
      </c>
      <c r="D61">
        <v>10</v>
      </c>
      <c r="E61">
        <v>4</v>
      </c>
      <c r="F61" s="2" t="s">
        <v>5</v>
      </c>
      <c r="G61" s="2" t="s">
        <v>4</v>
      </c>
      <c r="H61">
        <v>14</v>
      </c>
      <c r="I61">
        <v>0</v>
      </c>
      <c r="J61">
        <v>508750</v>
      </c>
      <c r="K61">
        <v>18.45</v>
      </c>
      <c r="L61">
        <v>29</v>
      </c>
      <c r="M61">
        <v>700</v>
      </c>
      <c r="N61">
        <v>9</v>
      </c>
      <c r="O61">
        <v>80</v>
      </c>
      <c r="P61">
        <v>21</v>
      </c>
      <c r="Q61">
        <v>23.53</v>
      </c>
      <c r="R61">
        <v>14</v>
      </c>
      <c r="S61">
        <v>40</v>
      </c>
    </row>
    <row r="62" spans="1:19" x14ac:dyDescent="0.2">
      <c r="A62" s="1">
        <v>45597</v>
      </c>
      <c r="B62" s="1">
        <v>45688</v>
      </c>
      <c r="C62">
        <v>2024</v>
      </c>
      <c r="D62">
        <v>11</v>
      </c>
      <c r="E62">
        <v>4</v>
      </c>
      <c r="F62" s="2" t="s">
        <v>5</v>
      </c>
      <c r="G62" s="2" t="s">
        <v>4</v>
      </c>
      <c r="H62">
        <v>12</v>
      </c>
      <c r="I62">
        <v>20</v>
      </c>
      <c r="J62">
        <v>486750</v>
      </c>
      <c r="K62">
        <v>17.29</v>
      </c>
      <c r="L62">
        <v>47</v>
      </c>
      <c r="M62">
        <v>2000</v>
      </c>
      <c r="N62">
        <v>14</v>
      </c>
      <c r="O62">
        <v>600</v>
      </c>
      <c r="P62">
        <v>21</v>
      </c>
      <c r="Q62">
        <v>110</v>
      </c>
      <c r="R62">
        <v>9</v>
      </c>
      <c r="S62">
        <v>28.57</v>
      </c>
    </row>
    <row r="63" spans="1:19" x14ac:dyDescent="0.2">
      <c r="A63" s="1">
        <v>45627</v>
      </c>
      <c r="B63" s="1">
        <v>45716</v>
      </c>
      <c r="C63">
        <v>2024</v>
      </c>
      <c r="D63">
        <v>12</v>
      </c>
      <c r="E63">
        <v>4</v>
      </c>
      <c r="F63" s="2" t="s">
        <v>5</v>
      </c>
      <c r="G63" s="2" t="s">
        <v>4</v>
      </c>
      <c r="H63">
        <v>10</v>
      </c>
      <c r="I63">
        <v>66.67</v>
      </c>
      <c r="J63">
        <v>486750</v>
      </c>
      <c r="K63">
        <v>-13.72</v>
      </c>
      <c r="L63">
        <v>25</v>
      </c>
      <c r="M63">
        <v>-1600</v>
      </c>
      <c r="N63">
        <v>16</v>
      </c>
      <c r="O63">
        <v>166.67</v>
      </c>
      <c r="P63">
        <v>21</v>
      </c>
      <c r="Q63">
        <v>75</v>
      </c>
      <c r="R63">
        <v>8</v>
      </c>
      <c r="S63">
        <v>33.33</v>
      </c>
    </row>
    <row r="64" spans="1:19" x14ac:dyDescent="0.2">
      <c r="A64" s="1">
        <v>45658</v>
      </c>
      <c r="B64" s="1">
        <v>45747</v>
      </c>
      <c r="C64">
        <v>2025</v>
      </c>
      <c r="D64">
        <v>1</v>
      </c>
      <c r="E64">
        <v>1</v>
      </c>
      <c r="F64" s="2" t="s">
        <v>5</v>
      </c>
      <c r="G64" s="2" t="s">
        <v>4</v>
      </c>
      <c r="H64">
        <v>5</v>
      </c>
      <c r="I64">
        <v>-28.57</v>
      </c>
      <c r="J64">
        <v>565000</v>
      </c>
      <c r="K64">
        <v>0.89</v>
      </c>
      <c r="L64">
        <v>11</v>
      </c>
      <c r="M64">
        <v>-7400</v>
      </c>
      <c r="N64">
        <v>18</v>
      </c>
      <c r="O64">
        <v>157.13999999999999</v>
      </c>
      <c r="P64">
        <v>24</v>
      </c>
      <c r="Q64">
        <v>84.62</v>
      </c>
      <c r="R64">
        <v>10</v>
      </c>
      <c r="S64">
        <v>42.86</v>
      </c>
    </row>
    <row r="65" spans="1:19" x14ac:dyDescent="0.2">
      <c r="A65" s="1">
        <v>45689</v>
      </c>
      <c r="B65" s="1">
        <v>45777</v>
      </c>
      <c r="C65">
        <v>2025</v>
      </c>
      <c r="D65">
        <v>2</v>
      </c>
      <c r="E65">
        <v>1</v>
      </c>
      <c r="F65" s="2" t="s">
        <v>5</v>
      </c>
      <c r="G65" s="2" t="s">
        <v>4</v>
      </c>
      <c r="H65">
        <v>8</v>
      </c>
      <c r="I65">
        <v>0</v>
      </c>
      <c r="J65">
        <v>557500</v>
      </c>
      <c r="K65">
        <v>3.72</v>
      </c>
      <c r="L65">
        <v>25</v>
      </c>
      <c r="M65">
        <v>1150</v>
      </c>
      <c r="N65">
        <v>10</v>
      </c>
      <c r="O65">
        <v>11.11</v>
      </c>
      <c r="P65">
        <v>23</v>
      </c>
      <c r="Q65">
        <v>91.67</v>
      </c>
      <c r="R65">
        <v>12</v>
      </c>
      <c r="S65">
        <v>71.430000000000007</v>
      </c>
    </row>
    <row r="66" spans="1:19" x14ac:dyDescent="0.2">
      <c r="A66" s="1">
        <v>45717</v>
      </c>
      <c r="B66" s="1">
        <v>45808</v>
      </c>
      <c r="C66">
        <v>2025</v>
      </c>
      <c r="D66">
        <v>3</v>
      </c>
      <c r="E66">
        <v>1</v>
      </c>
      <c r="F66" s="2" t="s">
        <v>5</v>
      </c>
      <c r="G66" s="2" t="s">
        <v>4</v>
      </c>
      <c r="H66">
        <v>12</v>
      </c>
      <c r="I66">
        <v>33.33</v>
      </c>
      <c r="J66">
        <v>537500</v>
      </c>
      <c r="K66">
        <v>-23.21</v>
      </c>
      <c r="L66">
        <v>47</v>
      </c>
      <c r="M66">
        <v>-50</v>
      </c>
      <c r="N66">
        <v>8</v>
      </c>
      <c r="O66">
        <v>33.33</v>
      </c>
      <c r="P66">
        <v>21</v>
      </c>
      <c r="Q66">
        <v>90.91</v>
      </c>
      <c r="R66">
        <v>11</v>
      </c>
      <c r="S66">
        <v>22.22</v>
      </c>
    </row>
    <row r="67" spans="1:19" x14ac:dyDescent="0.2">
      <c r="A67" s="1">
        <v>45748</v>
      </c>
      <c r="B67" s="1">
        <v>45838</v>
      </c>
      <c r="C67">
        <v>2025</v>
      </c>
      <c r="D67">
        <v>4</v>
      </c>
      <c r="E67">
        <v>2</v>
      </c>
      <c r="F67" s="2" t="s">
        <v>5</v>
      </c>
      <c r="G67" s="2" t="s">
        <v>4</v>
      </c>
      <c r="H67">
        <v>11</v>
      </c>
      <c r="I67">
        <v>57.14</v>
      </c>
      <c r="J67">
        <v>525000</v>
      </c>
      <c r="K67">
        <v>-25</v>
      </c>
      <c r="L67">
        <v>52</v>
      </c>
      <c r="M67">
        <v>3450</v>
      </c>
      <c r="N67">
        <v>4</v>
      </c>
      <c r="O67">
        <v>-42.86</v>
      </c>
      <c r="P67">
        <v>18</v>
      </c>
      <c r="Q67">
        <v>63.64</v>
      </c>
      <c r="R67">
        <v>8</v>
      </c>
      <c r="S67">
        <v>-11.11</v>
      </c>
    </row>
    <row r="68" spans="1:19" x14ac:dyDescent="0.2">
      <c r="A68" s="1">
        <v>45778</v>
      </c>
      <c r="B68" s="1">
        <v>45869</v>
      </c>
      <c r="C68">
        <v>2025</v>
      </c>
      <c r="D68">
        <v>5</v>
      </c>
      <c r="E68">
        <v>2</v>
      </c>
      <c r="F68" s="2" t="s">
        <v>5</v>
      </c>
      <c r="G68" s="2" t="s">
        <v>4</v>
      </c>
      <c r="H68">
        <v>9</v>
      </c>
      <c r="I68">
        <v>28.57</v>
      </c>
      <c r="J68">
        <v>500000</v>
      </c>
      <c r="K68">
        <v>-16.510000000000002</v>
      </c>
      <c r="L68">
        <v>98</v>
      </c>
      <c r="M68">
        <v>4900</v>
      </c>
      <c r="N68">
        <v>9</v>
      </c>
      <c r="O68">
        <v>-10</v>
      </c>
      <c r="P68">
        <v>20</v>
      </c>
      <c r="Q68">
        <v>25</v>
      </c>
      <c r="R68">
        <v>10</v>
      </c>
      <c r="S68">
        <v>11.11</v>
      </c>
    </row>
    <row r="69" spans="1:19" x14ac:dyDescent="0.2">
      <c r="A69" s="1">
        <v>45809</v>
      </c>
      <c r="B69" s="1">
        <v>45900</v>
      </c>
      <c r="C69">
        <v>2025</v>
      </c>
      <c r="D69">
        <v>6</v>
      </c>
      <c r="E69">
        <v>2</v>
      </c>
      <c r="F69" s="2" t="s">
        <v>5</v>
      </c>
      <c r="G69" s="2" t="s">
        <v>4</v>
      </c>
      <c r="H69">
        <v>6</v>
      </c>
      <c r="I69">
        <v>-40</v>
      </c>
      <c r="J69">
        <v>618160</v>
      </c>
      <c r="K69">
        <v>29.46</v>
      </c>
      <c r="L69">
        <v>72</v>
      </c>
      <c r="M69">
        <v>5900</v>
      </c>
      <c r="N69">
        <v>7</v>
      </c>
      <c r="O69">
        <v>-46.15</v>
      </c>
      <c r="P69">
        <v>17</v>
      </c>
      <c r="Q69">
        <v>-5.56</v>
      </c>
      <c r="R69">
        <v>9</v>
      </c>
      <c r="S69">
        <v>-10</v>
      </c>
    </row>
    <row r="70" spans="1:19" x14ac:dyDescent="0.2">
      <c r="A70" s="1">
        <v>45839</v>
      </c>
      <c r="B70" s="1">
        <v>45930</v>
      </c>
      <c r="C70">
        <v>2025</v>
      </c>
      <c r="D70">
        <v>7</v>
      </c>
      <c r="E70">
        <v>3</v>
      </c>
      <c r="F70" s="2" t="s">
        <v>5</v>
      </c>
      <c r="G70" s="2" t="s">
        <v>4</v>
      </c>
      <c r="H70">
        <v>6</v>
      </c>
      <c r="I70">
        <v>-40</v>
      </c>
      <c r="J70">
        <v>578500</v>
      </c>
      <c r="K70">
        <v>21.15</v>
      </c>
      <c r="L70">
        <v>46</v>
      </c>
      <c r="M70">
        <v>3300</v>
      </c>
      <c r="N70">
        <v>9</v>
      </c>
      <c r="O70">
        <v>-50</v>
      </c>
      <c r="P70">
        <v>17</v>
      </c>
      <c r="Q70">
        <v>-29.17</v>
      </c>
      <c r="R70">
        <v>9</v>
      </c>
      <c r="S70">
        <v>-10</v>
      </c>
    </row>
    <row r="71" spans="1:19" x14ac:dyDescent="0.2">
      <c r="A71" s="1">
        <v>45870</v>
      </c>
      <c r="B71" s="1">
        <v>45961</v>
      </c>
      <c r="C71">
        <v>2025</v>
      </c>
      <c r="D71">
        <v>8</v>
      </c>
      <c r="E71">
        <v>3</v>
      </c>
      <c r="F71" s="2" t="s">
        <v>5</v>
      </c>
      <c r="G71" s="2" t="s">
        <v>4</v>
      </c>
      <c r="H71">
        <v>7</v>
      </c>
      <c r="I71">
        <v>-36.36</v>
      </c>
      <c r="J71">
        <v>480000</v>
      </c>
      <c r="K71">
        <v>1.05</v>
      </c>
      <c r="L71">
        <v>14</v>
      </c>
      <c r="M71">
        <v>200</v>
      </c>
      <c r="N71">
        <v>12</v>
      </c>
      <c r="O71">
        <v>-20</v>
      </c>
      <c r="P71">
        <v>21</v>
      </c>
      <c r="Q71">
        <v>-12.5</v>
      </c>
      <c r="R71">
        <v>8</v>
      </c>
      <c r="S71">
        <v>-38.46</v>
      </c>
    </row>
    <row r="72" spans="1:19" x14ac:dyDescent="0.2">
      <c r="A72" s="1">
        <v>45901</v>
      </c>
      <c r="B72" s="1">
        <v>45991</v>
      </c>
      <c r="C72">
        <v>2025</v>
      </c>
      <c r="D72">
        <v>9</v>
      </c>
      <c r="E72">
        <v>3</v>
      </c>
      <c r="F72" s="2" t="s">
        <v>5</v>
      </c>
      <c r="G72" s="2" t="s">
        <v>4</v>
      </c>
      <c r="H72">
        <v>9</v>
      </c>
      <c r="I72">
        <v>12.5</v>
      </c>
      <c r="J72">
        <v>480000</v>
      </c>
      <c r="K72">
        <v>0.57999999999999996</v>
      </c>
      <c r="L72">
        <v>13</v>
      </c>
      <c r="M72">
        <v>-450</v>
      </c>
      <c r="N72">
        <v>14</v>
      </c>
      <c r="O72">
        <v>7.69</v>
      </c>
      <c r="P72">
        <v>21</v>
      </c>
      <c r="Q72">
        <v>0</v>
      </c>
      <c r="R72">
        <v>10</v>
      </c>
      <c r="S72">
        <v>-23.08</v>
      </c>
    </row>
    <row r="73" spans="1:19" x14ac:dyDescent="0.2">
      <c r="A73" s="1">
        <v>45931</v>
      </c>
      <c r="B73" s="1">
        <v>46022</v>
      </c>
      <c r="C73">
        <v>2025</v>
      </c>
      <c r="D73">
        <v>10</v>
      </c>
      <c r="E73">
        <v>4</v>
      </c>
      <c r="F73" s="2" t="s">
        <v>5</v>
      </c>
      <c r="G73" s="2" t="s">
        <v>4</v>
      </c>
      <c r="H73">
        <v>9</v>
      </c>
      <c r="I73">
        <v>-35.71</v>
      </c>
      <c r="J73">
        <v>442000</v>
      </c>
      <c r="K73">
        <v>-13.12</v>
      </c>
      <c r="L73">
        <v>13</v>
      </c>
      <c r="M73">
        <v>-1600</v>
      </c>
      <c r="N73">
        <v>12</v>
      </c>
      <c r="O73">
        <v>33.33</v>
      </c>
      <c r="P73">
        <v>21</v>
      </c>
      <c r="Q73">
        <v>0</v>
      </c>
      <c r="R73">
        <v>9</v>
      </c>
      <c r="S73">
        <v>-35.71</v>
      </c>
    </row>
    <row r="74" spans="1:19" x14ac:dyDescent="0.2">
      <c r="A74" s="1">
        <v>45962</v>
      </c>
      <c r="B74" s="1">
        <v>46053</v>
      </c>
      <c r="C74">
        <v>2025</v>
      </c>
      <c r="D74">
        <v>11</v>
      </c>
      <c r="E74">
        <v>4</v>
      </c>
      <c r="F74" s="2" t="s">
        <v>5</v>
      </c>
      <c r="G74" s="2" t="s">
        <v>4</v>
      </c>
      <c r="H74">
        <v>11</v>
      </c>
      <c r="I74">
        <v>-8.33</v>
      </c>
      <c r="J74">
        <v>442000</v>
      </c>
      <c r="K74">
        <v>-9.19</v>
      </c>
      <c r="L74">
        <v>13</v>
      </c>
      <c r="M74">
        <v>-3400</v>
      </c>
      <c r="N74">
        <v>5</v>
      </c>
      <c r="O74">
        <v>-64.290000000000006</v>
      </c>
      <c r="P74">
        <v>15</v>
      </c>
      <c r="Q74">
        <v>-28.57</v>
      </c>
      <c r="R74">
        <v>8</v>
      </c>
      <c r="S74">
        <v>-11.11</v>
      </c>
    </row>
    <row r="75" spans="1:19" x14ac:dyDescent="0.2">
      <c r="A75" s="1">
        <v>45992</v>
      </c>
      <c r="B75" s="1">
        <v>46081</v>
      </c>
      <c r="C75">
        <v>2025</v>
      </c>
      <c r="D75">
        <v>12</v>
      </c>
      <c r="E75">
        <v>4</v>
      </c>
      <c r="F75" s="2" t="s">
        <v>5</v>
      </c>
      <c r="G75" s="2" t="s">
        <v>4</v>
      </c>
      <c r="H75">
        <v>9</v>
      </c>
      <c r="I75">
        <v>-10</v>
      </c>
      <c r="J75">
        <v>442000</v>
      </c>
      <c r="K75">
        <v>-9.19</v>
      </c>
      <c r="L75">
        <v>34</v>
      </c>
      <c r="M75">
        <v>900</v>
      </c>
      <c r="N75">
        <v>4</v>
      </c>
      <c r="O75">
        <v>-75</v>
      </c>
      <c r="P75">
        <v>12</v>
      </c>
      <c r="Q75">
        <v>-42.86</v>
      </c>
      <c r="R75">
        <v>8</v>
      </c>
      <c r="S75">
        <v>0</v>
      </c>
    </row>
    <row r="76" spans="1:19" x14ac:dyDescent="0.2">
      <c r="A76" s="1">
        <v>46023</v>
      </c>
      <c r="B76" s="1">
        <v>46112</v>
      </c>
      <c r="C76">
        <v>2026</v>
      </c>
      <c r="D76">
        <v>1</v>
      </c>
      <c r="E76">
        <v>1</v>
      </c>
      <c r="F76" s="2" t="s">
        <v>5</v>
      </c>
      <c r="G76" s="2" t="s">
        <v>4</v>
      </c>
      <c r="H76">
        <v>10</v>
      </c>
      <c r="I76">
        <v>100</v>
      </c>
      <c r="J76">
        <v>490000</v>
      </c>
      <c r="K76">
        <v>-13.27</v>
      </c>
      <c r="L76">
        <v>81</v>
      </c>
      <c r="M76">
        <v>7000</v>
      </c>
      <c r="N76">
        <v>6</v>
      </c>
      <c r="O76">
        <v>-66.67</v>
      </c>
      <c r="P76">
        <v>12</v>
      </c>
      <c r="Q76">
        <v>-50</v>
      </c>
      <c r="R76">
        <v>11</v>
      </c>
      <c r="S76">
        <v>10</v>
      </c>
    </row>
    <row r="77" spans="1:19" x14ac:dyDescent="0.2">
      <c r="A77" s="1">
        <v>46054</v>
      </c>
      <c r="B77" s="1">
        <v>46142</v>
      </c>
      <c r="C77">
        <v>2026</v>
      </c>
      <c r="D77">
        <v>2</v>
      </c>
      <c r="E77">
        <v>1</v>
      </c>
      <c r="F77" s="2" t="s">
        <v>5</v>
      </c>
      <c r="G77" s="2" t="s">
        <v>4</v>
      </c>
      <c r="H77">
        <v>12</v>
      </c>
      <c r="I77">
        <v>53.53</v>
      </c>
      <c r="J77">
        <v>529726</v>
      </c>
      <c r="K77">
        <v>-4.9800000000000004</v>
      </c>
      <c r="L77">
        <v>104</v>
      </c>
      <c r="M77">
        <v>7965.72</v>
      </c>
      <c r="N77">
        <v>8</v>
      </c>
      <c r="O77">
        <v>-19.36</v>
      </c>
      <c r="P77">
        <v>12</v>
      </c>
      <c r="Q77">
        <v>-47.53</v>
      </c>
      <c r="R77">
        <v>15</v>
      </c>
      <c r="S77">
        <v>26.08</v>
      </c>
    </row>
    <row r="78" spans="1:19" x14ac:dyDescent="0.2">
      <c r="A78" s="1">
        <v>44927</v>
      </c>
      <c r="B78" s="1">
        <v>45016</v>
      </c>
      <c r="C78">
        <v>2023</v>
      </c>
      <c r="D78">
        <v>1</v>
      </c>
      <c r="E78">
        <v>1</v>
      </c>
      <c r="F78" s="2" t="s">
        <v>5</v>
      </c>
      <c r="G78" s="2" t="s">
        <v>3</v>
      </c>
      <c r="H78">
        <v>10</v>
      </c>
      <c r="I78">
        <v>-37.5</v>
      </c>
      <c r="J78">
        <v>343500</v>
      </c>
      <c r="K78">
        <v>-20.62</v>
      </c>
      <c r="L78">
        <v>25</v>
      </c>
      <c r="M78">
        <v>1650</v>
      </c>
      <c r="N78">
        <v>6</v>
      </c>
      <c r="O78">
        <v>-79.31</v>
      </c>
      <c r="P78">
        <v>11</v>
      </c>
      <c r="Q78">
        <v>-65.63</v>
      </c>
      <c r="R78">
        <v>9</v>
      </c>
      <c r="S78">
        <v>-62.5</v>
      </c>
    </row>
    <row r="79" spans="1:19" x14ac:dyDescent="0.2">
      <c r="A79" s="1">
        <v>44958</v>
      </c>
      <c r="B79" s="1">
        <v>45046</v>
      </c>
      <c r="C79">
        <v>2023</v>
      </c>
      <c r="D79">
        <v>2</v>
      </c>
      <c r="E79">
        <v>1</v>
      </c>
      <c r="F79" s="2" t="s">
        <v>5</v>
      </c>
      <c r="G79" s="2" t="s">
        <v>3</v>
      </c>
      <c r="H79">
        <v>7</v>
      </c>
      <c r="I79">
        <v>-61.11</v>
      </c>
      <c r="J79">
        <v>365000</v>
      </c>
      <c r="K79">
        <v>-15.66</v>
      </c>
      <c r="L79">
        <v>18</v>
      </c>
      <c r="M79">
        <v>1000</v>
      </c>
      <c r="N79">
        <v>6</v>
      </c>
      <c r="O79">
        <v>-81.819999999999993</v>
      </c>
      <c r="P79">
        <v>12</v>
      </c>
      <c r="Q79">
        <v>-65.709999999999994</v>
      </c>
      <c r="R79">
        <v>9</v>
      </c>
      <c r="S79">
        <v>-67.86</v>
      </c>
    </row>
    <row r="80" spans="1:19" x14ac:dyDescent="0.2">
      <c r="A80" s="1">
        <v>44986</v>
      </c>
      <c r="B80" s="1">
        <v>45077</v>
      </c>
      <c r="C80">
        <v>2023</v>
      </c>
      <c r="D80">
        <v>3</v>
      </c>
      <c r="E80">
        <v>1</v>
      </c>
      <c r="F80" s="2" t="s">
        <v>5</v>
      </c>
      <c r="G80" s="2" t="s">
        <v>3</v>
      </c>
      <c r="H80">
        <v>10</v>
      </c>
      <c r="I80">
        <v>-52.38</v>
      </c>
      <c r="J80">
        <v>380500</v>
      </c>
      <c r="K80">
        <v>-5.58</v>
      </c>
      <c r="L80">
        <v>18</v>
      </c>
      <c r="M80">
        <v>950</v>
      </c>
      <c r="N80">
        <v>6</v>
      </c>
      <c r="O80">
        <v>-75</v>
      </c>
      <c r="P80">
        <v>10</v>
      </c>
      <c r="Q80">
        <v>-70.59</v>
      </c>
      <c r="R80">
        <v>8</v>
      </c>
      <c r="S80">
        <v>-68</v>
      </c>
    </row>
    <row r="81" spans="1:19" x14ac:dyDescent="0.2">
      <c r="A81" s="1">
        <v>45017</v>
      </c>
      <c r="B81" s="1">
        <v>45107</v>
      </c>
      <c r="C81">
        <v>2023</v>
      </c>
      <c r="D81">
        <v>4</v>
      </c>
      <c r="E81">
        <v>2</v>
      </c>
      <c r="F81" s="2" t="s">
        <v>5</v>
      </c>
      <c r="G81" s="2" t="s">
        <v>3</v>
      </c>
      <c r="H81">
        <v>6</v>
      </c>
      <c r="I81">
        <v>-71.430000000000007</v>
      </c>
      <c r="J81">
        <v>405500</v>
      </c>
      <c r="K81">
        <v>3.31</v>
      </c>
      <c r="L81">
        <v>76</v>
      </c>
      <c r="M81">
        <v>6150</v>
      </c>
      <c r="N81">
        <v>8</v>
      </c>
      <c r="O81">
        <v>-57.89</v>
      </c>
      <c r="P81">
        <v>12</v>
      </c>
      <c r="Q81">
        <v>-63.64</v>
      </c>
      <c r="R81">
        <v>9</v>
      </c>
      <c r="S81">
        <v>-55</v>
      </c>
    </row>
    <row r="82" spans="1:19" x14ac:dyDescent="0.2">
      <c r="A82" s="1">
        <v>45047</v>
      </c>
      <c r="B82" s="1">
        <v>45138</v>
      </c>
      <c r="C82">
        <v>2023</v>
      </c>
      <c r="D82">
        <v>5</v>
      </c>
      <c r="E82">
        <v>2</v>
      </c>
      <c r="F82" s="2" t="s">
        <v>5</v>
      </c>
      <c r="G82" s="2" t="s">
        <v>3</v>
      </c>
      <c r="H82">
        <v>8</v>
      </c>
      <c r="I82">
        <v>-52.94</v>
      </c>
      <c r="J82">
        <v>418000</v>
      </c>
      <c r="K82">
        <v>11.02</v>
      </c>
      <c r="L82">
        <v>10</v>
      </c>
      <c r="M82">
        <v>-750</v>
      </c>
      <c r="N82">
        <v>13</v>
      </c>
      <c r="O82">
        <v>-27.78</v>
      </c>
      <c r="P82">
        <v>14</v>
      </c>
      <c r="Q82">
        <v>-53.33</v>
      </c>
      <c r="R82">
        <v>10</v>
      </c>
      <c r="S82">
        <v>-28.57</v>
      </c>
    </row>
    <row r="83" spans="1:19" x14ac:dyDescent="0.2">
      <c r="A83" s="1">
        <v>45078</v>
      </c>
      <c r="B83" s="1">
        <v>45169</v>
      </c>
      <c r="C83">
        <v>2023</v>
      </c>
      <c r="D83">
        <v>6</v>
      </c>
      <c r="E83">
        <v>2</v>
      </c>
      <c r="F83" s="2" t="s">
        <v>5</v>
      </c>
      <c r="G83" s="2" t="s">
        <v>3</v>
      </c>
      <c r="H83">
        <v>8</v>
      </c>
      <c r="I83">
        <v>-38.46</v>
      </c>
      <c r="J83">
        <v>460000</v>
      </c>
      <c r="K83">
        <v>27.78</v>
      </c>
      <c r="L83">
        <v>9</v>
      </c>
      <c r="M83">
        <v>-1150</v>
      </c>
      <c r="N83">
        <v>18</v>
      </c>
      <c r="O83">
        <v>12.5</v>
      </c>
      <c r="P83">
        <v>19</v>
      </c>
      <c r="Q83">
        <v>-29.63</v>
      </c>
      <c r="R83">
        <v>11</v>
      </c>
      <c r="S83">
        <v>-8.33</v>
      </c>
    </row>
    <row r="84" spans="1:19" x14ac:dyDescent="0.2">
      <c r="A84" s="1">
        <v>45108</v>
      </c>
      <c r="B84" s="1">
        <v>45199</v>
      </c>
      <c r="C84">
        <v>2023</v>
      </c>
      <c r="D84">
        <v>7</v>
      </c>
      <c r="E84">
        <v>3</v>
      </c>
      <c r="F84" s="2" t="s">
        <v>5</v>
      </c>
      <c r="G84" s="2" t="s">
        <v>3</v>
      </c>
      <c r="H84">
        <v>11</v>
      </c>
      <c r="I84">
        <v>22.22</v>
      </c>
      <c r="J84">
        <v>440000</v>
      </c>
      <c r="K84">
        <v>21.21</v>
      </c>
      <c r="L84">
        <v>9</v>
      </c>
      <c r="M84">
        <v>-4700</v>
      </c>
      <c r="N84">
        <v>28</v>
      </c>
      <c r="O84">
        <v>115.38</v>
      </c>
      <c r="P84">
        <v>29</v>
      </c>
      <c r="Q84">
        <v>20.83</v>
      </c>
      <c r="R84">
        <v>10</v>
      </c>
      <c r="S84">
        <v>0</v>
      </c>
    </row>
    <row r="85" spans="1:19" x14ac:dyDescent="0.2">
      <c r="A85" s="1">
        <v>45139</v>
      </c>
      <c r="B85" s="1">
        <v>45230</v>
      </c>
      <c r="C85">
        <v>2023</v>
      </c>
      <c r="D85">
        <v>8</v>
      </c>
      <c r="E85">
        <v>3</v>
      </c>
      <c r="F85" s="2" t="s">
        <v>5</v>
      </c>
      <c r="G85" s="2" t="s">
        <v>3</v>
      </c>
      <c r="H85">
        <v>11</v>
      </c>
      <c r="I85">
        <v>57.14</v>
      </c>
      <c r="J85">
        <v>410000</v>
      </c>
      <c r="K85">
        <v>0</v>
      </c>
      <c r="L85">
        <v>9</v>
      </c>
      <c r="M85">
        <v>-4700</v>
      </c>
      <c r="N85">
        <v>24</v>
      </c>
      <c r="O85">
        <v>84.62</v>
      </c>
      <c r="P85">
        <v>30</v>
      </c>
      <c r="Q85">
        <v>25</v>
      </c>
      <c r="R85">
        <v>15</v>
      </c>
      <c r="S85">
        <v>25</v>
      </c>
    </row>
    <row r="86" spans="1:19" x14ac:dyDescent="0.2">
      <c r="A86" s="1">
        <v>45170</v>
      </c>
      <c r="B86" s="1">
        <v>45260</v>
      </c>
      <c r="C86">
        <v>2023</v>
      </c>
      <c r="D86">
        <v>9</v>
      </c>
      <c r="E86">
        <v>3</v>
      </c>
      <c r="F86" s="2" t="s">
        <v>5</v>
      </c>
      <c r="G86" s="2" t="s">
        <v>3</v>
      </c>
      <c r="H86">
        <v>10</v>
      </c>
      <c r="I86">
        <v>0</v>
      </c>
      <c r="J86">
        <v>417500</v>
      </c>
      <c r="K86">
        <v>0</v>
      </c>
      <c r="L86">
        <v>18</v>
      </c>
      <c r="M86">
        <v>-4250</v>
      </c>
      <c r="N86">
        <v>18</v>
      </c>
      <c r="O86">
        <v>50</v>
      </c>
      <c r="P86">
        <v>25</v>
      </c>
      <c r="Q86">
        <v>8.6999999999999993</v>
      </c>
      <c r="R86">
        <v>12</v>
      </c>
      <c r="S86">
        <v>-29.41</v>
      </c>
    </row>
    <row r="87" spans="1:19" x14ac:dyDescent="0.2">
      <c r="A87" s="1">
        <v>45200</v>
      </c>
      <c r="B87" s="1">
        <v>45291</v>
      </c>
      <c r="C87">
        <v>2023</v>
      </c>
      <c r="D87">
        <v>10</v>
      </c>
      <c r="E87">
        <v>4</v>
      </c>
      <c r="F87" s="2" t="s">
        <v>5</v>
      </c>
      <c r="G87" s="2" t="s">
        <v>3</v>
      </c>
      <c r="H87">
        <v>11</v>
      </c>
      <c r="I87">
        <v>-15.38</v>
      </c>
      <c r="J87">
        <v>469000</v>
      </c>
      <c r="K87">
        <v>22.77</v>
      </c>
      <c r="L87">
        <v>60</v>
      </c>
      <c r="M87">
        <v>1200</v>
      </c>
      <c r="N87">
        <v>6</v>
      </c>
      <c r="O87">
        <v>-45.45</v>
      </c>
      <c r="P87">
        <v>21</v>
      </c>
      <c r="Q87">
        <v>-8.6999999999999993</v>
      </c>
      <c r="R87">
        <v>13</v>
      </c>
      <c r="S87">
        <v>-23.53</v>
      </c>
    </row>
    <row r="88" spans="1:19" x14ac:dyDescent="0.2">
      <c r="A88" s="1">
        <v>45231</v>
      </c>
      <c r="B88" s="1">
        <v>45322</v>
      </c>
      <c r="C88">
        <v>2023</v>
      </c>
      <c r="D88">
        <v>11</v>
      </c>
      <c r="E88">
        <v>4</v>
      </c>
      <c r="F88" s="2" t="s">
        <v>5</v>
      </c>
      <c r="G88" s="2" t="s">
        <v>3</v>
      </c>
      <c r="H88">
        <v>10</v>
      </c>
      <c r="I88">
        <v>-41.18</v>
      </c>
      <c r="J88">
        <v>479500</v>
      </c>
      <c r="K88">
        <v>35.07</v>
      </c>
      <c r="L88">
        <v>72</v>
      </c>
      <c r="M88">
        <v>1650</v>
      </c>
      <c r="N88">
        <v>6</v>
      </c>
      <c r="O88">
        <v>-25</v>
      </c>
      <c r="P88">
        <v>17</v>
      </c>
      <c r="Q88">
        <v>-15</v>
      </c>
      <c r="R88">
        <v>9</v>
      </c>
      <c r="S88">
        <v>-43.75</v>
      </c>
    </row>
    <row r="89" spans="1:19" x14ac:dyDescent="0.2">
      <c r="A89" s="1">
        <v>45261</v>
      </c>
      <c r="B89" s="1">
        <v>45351</v>
      </c>
      <c r="C89">
        <v>2023</v>
      </c>
      <c r="D89">
        <v>12</v>
      </c>
      <c r="E89">
        <v>4</v>
      </c>
      <c r="F89" s="2" t="s">
        <v>5</v>
      </c>
      <c r="G89" s="2" t="s">
        <v>3</v>
      </c>
      <c r="H89">
        <v>10</v>
      </c>
      <c r="I89">
        <v>-16.670000000000002</v>
      </c>
      <c r="J89">
        <v>479500</v>
      </c>
      <c r="K89">
        <v>38.99</v>
      </c>
      <c r="L89">
        <v>66</v>
      </c>
      <c r="M89">
        <v>800</v>
      </c>
      <c r="N89">
        <v>9</v>
      </c>
      <c r="O89">
        <v>50</v>
      </c>
      <c r="P89">
        <v>16</v>
      </c>
      <c r="Q89">
        <v>23.08</v>
      </c>
      <c r="R89">
        <v>12</v>
      </c>
      <c r="S89">
        <v>0</v>
      </c>
    </row>
    <row r="90" spans="1:19" x14ac:dyDescent="0.2">
      <c r="A90" s="1">
        <v>45292</v>
      </c>
      <c r="B90" s="1">
        <v>45382</v>
      </c>
      <c r="C90">
        <v>2024</v>
      </c>
      <c r="D90">
        <v>1</v>
      </c>
      <c r="E90">
        <v>1</v>
      </c>
      <c r="F90" s="2" t="s">
        <v>5</v>
      </c>
      <c r="G90" s="2" t="s">
        <v>3</v>
      </c>
      <c r="H90">
        <v>10</v>
      </c>
      <c r="I90">
        <v>0</v>
      </c>
      <c r="J90">
        <v>447500</v>
      </c>
      <c r="K90">
        <v>30.28</v>
      </c>
      <c r="L90">
        <v>19</v>
      </c>
      <c r="M90">
        <v>-600</v>
      </c>
      <c r="N90">
        <v>13</v>
      </c>
      <c r="O90">
        <v>116.67</v>
      </c>
      <c r="P90">
        <v>16</v>
      </c>
      <c r="Q90">
        <v>45.45</v>
      </c>
      <c r="R90">
        <v>9</v>
      </c>
      <c r="S90">
        <v>0</v>
      </c>
    </row>
    <row r="91" spans="1:19" x14ac:dyDescent="0.2">
      <c r="A91" s="1">
        <v>45323</v>
      </c>
      <c r="B91" s="1">
        <v>45412</v>
      </c>
      <c r="C91">
        <v>2024</v>
      </c>
      <c r="D91">
        <v>2</v>
      </c>
      <c r="E91">
        <v>1</v>
      </c>
      <c r="F91" s="2" t="s">
        <v>5</v>
      </c>
      <c r="G91" s="2" t="s">
        <v>3</v>
      </c>
      <c r="H91">
        <v>8</v>
      </c>
      <c r="I91">
        <v>14.29</v>
      </c>
      <c r="J91">
        <v>407500</v>
      </c>
      <c r="K91">
        <v>11.64</v>
      </c>
      <c r="L91">
        <v>14</v>
      </c>
      <c r="M91">
        <v>-450</v>
      </c>
      <c r="N91">
        <v>15</v>
      </c>
      <c r="O91">
        <v>150</v>
      </c>
      <c r="P91">
        <v>20</v>
      </c>
      <c r="Q91">
        <v>66.67</v>
      </c>
      <c r="R91">
        <v>16</v>
      </c>
      <c r="S91">
        <v>77.78</v>
      </c>
    </row>
    <row r="92" spans="1:19" x14ac:dyDescent="0.2">
      <c r="A92" s="1">
        <v>45352</v>
      </c>
      <c r="B92" s="1">
        <v>45443</v>
      </c>
      <c r="C92">
        <v>2024</v>
      </c>
      <c r="D92">
        <v>3</v>
      </c>
      <c r="E92">
        <v>1</v>
      </c>
      <c r="F92" s="2" t="s">
        <v>5</v>
      </c>
      <c r="G92" s="2" t="s">
        <v>3</v>
      </c>
      <c r="H92">
        <v>14</v>
      </c>
      <c r="I92">
        <v>40</v>
      </c>
      <c r="J92">
        <v>432500</v>
      </c>
      <c r="K92">
        <v>13.67</v>
      </c>
      <c r="L92">
        <v>16</v>
      </c>
      <c r="M92">
        <v>-150</v>
      </c>
      <c r="N92">
        <v>15</v>
      </c>
      <c r="O92">
        <v>150</v>
      </c>
      <c r="P92">
        <v>19</v>
      </c>
      <c r="Q92">
        <v>90</v>
      </c>
      <c r="R92">
        <v>17</v>
      </c>
      <c r="S92">
        <v>112.5</v>
      </c>
    </row>
    <row r="93" spans="1:19" x14ac:dyDescent="0.2">
      <c r="A93" s="1">
        <v>45383</v>
      </c>
      <c r="B93" s="1">
        <v>45473</v>
      </c>
      <c r="C93">
        <v>2024</v>
      </c>
      <c r="D93">
        <v>4</v>
      </c>
      <c r="E93">
        <v>2</v>
      </c>
      <c r="F93" s="2" t="s">
        <v>5</v>
      </c>
      <c r="G93" s="2" t="s">
        <v>3</v>
      </c>
      <c r="H93">
        <v>15</v>
      </c>
      <c r="I93">
        <v>150</v>
      </c>
      <c r="J93">
        <v>405000</v>
      </c>
      <c r="K93">
        <v>-0.12</v>
      </c>
      <c r="L93">
        <v>16</v>
      </c>
      <c r="M93">
        <v>-5950</v>
      </c>
      <c r="N93">
        <v>13</v>
      </c>
      <c r="O93">
        <v>62.5</v>
      </c>
      <c r="P93">
        <v>22</v>
      </c>
      <c r="Q93">
        <v>83.33</v>
      </c>
      <c r="R93">
        <v>18</v>
      </c>
      <c r="S93">
        <v>100</v>
      </c>
    </row>
    <row r="94" spans="1:19" x14ac:dyDescent="0.2">
      <c r="A94" s="1">
        <v>45413</v>
      </c>
      <c r="B94" s="1">
        <v>45504</v>
      </c>
      <c r="C94">
        <v>2024</v>
      </c>
      <c r="D94">
        <v>5</v>
      </c>
      <c r="E94">
        <v>2</v>
      </c>
      <c r="F94" s="2" t="s">
        <v>5</v>
      </c>
      <c r="G94" s="2" t="s">
        <v>3</v>
      </c>
      <c r="H94">
        <v>16</v>
      </c>
      <c r="I94">
        <v>100</v>
      </c>
      <c r="J94">
        <v>417500</v>
      </c>
      <c r="K94">
        <v>-0.12</v>
      </c>
      <c r="L94">
        <v>18</v>
      </c>
      <c r="M94">
        <v>800</v>
      </c>
      <c r="N94">
        <v>9</v>
      </c>
      <c r="O94">
        <v>-30.77</v>
      </c>
      <c r="P94">
        <v>15</v>
      </c>
      <c r="Q94">
        <v>7.14</v>
      </c>
      <c r="R94">
        <v>10</v>
      </c>
      <c r="S94">
        <v>0</v>
      </c>
    </row>
    <row r="95" spans="1:19" x14ac:dyDescent="0.2">
      <c r="A95" s="1">
        <v>45444</v>
      </c>
      <c r="B95" s="1">
        <v>45535</v>
      </c>
      <c r="C95">
        <v>2024</v>
      </c>
      <c r="D95">
        <v>6</v>
      </c>
      <c r="E95">
        <v>2</v>
      </c>
      <c r="F95" s="2" t="s">
        <v>5</v>
      </c>
      <c r="G95" s="2" t="s">
        <v>3</v>
      </c>
      <c r="H95">
        <v>9</v>
      </c>
      <c r="I95">
        <v>12.5</v>
      </c>
      <c r="J95">
        <v>400000</v>
      </c>
      <c r="K95">
        <v>-13.04</v>
      </c>
      <c r="L95">
        <v>26</v>
      </c>
      <c r="M95">
        <v>1750</v>
      </c>
      <c r="N95">
        <v>10</v>
      </c>
      <c r="O95">
        <v>-44.44</v>
      </c>
      <c r="P95">
        <v>14</v>
      </c>
      <c r="Q95">
        <v>-26.32</v>
      </c>
      <c r="R95">
        <v>8</v>
      </c>
      <c r="S95">
        <v>-27.27</v>
      </c>
    </row>
    <row r="96" spans="1:19" x14ac:dyDescent="0.2">
      <c r="A96" s="1">
        <v>45474</v>
      </c>
      <c r="B96" s="1">
        <v>45565</v>
      </c>
      <c r="C96">
        <v>2024</v>
      </c>
      <c r="D96">
        <v>7</v>
      </c>
      <c r="E96">
        <v>3</v>
      </c>
      <c r="F96" s="2" t="s">
        <v>5</v>
      </c>
      <c r="G96" s="2" t="s">
        <v>3</v>
      </c>
      <c r="H96">
        <v>7</v>
      </c>
      <c r="I96">
        <v>-36.36</v>
      </c>
      <c r="J96">
        <v>395000</v>
      </c>
      <c r="K96">
        <v>-10.23</v>
      </c>
      <c r="L96">
        <v>22</v>
      </c>
      <c r="M96">
        <v>1300</v>
      </c>
      <c r="N96">
        <v>15</v>
      </c>
      <c r="O96">
        <v>-46.43</v>
      </c>
      <c r="P96">
        <v>17</v>
      </c>
      <c r="Q96">
        <v>-41.38</v>
      </c>
      <c r="R96">
        <v>10</v>
      </c>
      <c r="S96">
        <v>0</v>
      </c>
    </row>
    <row r="97" spans="1:19" x14ac:dyDescent="0.2">
      <c r="A97" s="1">
        <v>45505</v>
      </c>
      <c r="B97" s="1">
        <v>45596</v>
      </c>
      <c r="C97">
        <v>2024</v>
      </c>
      <c r="D97">
        <v>8</v>
      </c>
      <c r="E97">
        <v>3</v>
      </c>
      <c r="F97" s="2" t="s">
        <v>5</v>
      </c>
      <c r="G97" s="2" t="s">
        <v>3</v>
      </c>
      <c r="H97">
        <v>11</v>
      </c>
      <c r="I97">
        <v>0</v>
      </c>
      <c r="J97">
        <v>390000</v>
      </c>
      <c r="K97">
        <v>-4.88</v>
      </c>
      <c r="L97">
        <v>22</v>
      </c>
      <c r="M97">
        <v>1300</v>
      </c>
      <c r="N97">
        <v>15</v>
      </c>
      <c r="O97">
        <v>-37.5</v>
      </c>
      <c r="P97">
        <v>18</v>
      </c>
      <c r="Q97">
        <v>-40</v>
      </c>
      <c r="R97">
        <v>13</v>
      </c>
      <c r="S97">
        <v>-13.33</v>
      </c>
    </row>
    <row r="98" spans="1:19" x14ac:dyDescent="0.2">
      <c r="A98" s="1">
        <v>45536</v>
      </c>
      <c r="B98" s="1">
        <v>45626</v>
      </c>
      <c r="C98">
        <v>2024</v>
      </c>
      <c r="D98">
        <v>9</v>
      </c>
      <c r="E98">
        <v>3</v>
      </c>
      <c r="F98" s="2" t="s">
        <v>5</v>
      </c>
      <c r="G98" s="2" t="s">
        <v>3</v>
      </c>
      <c r="H98">
        <v>13</v>
      </c>
      <c r="I98">
        <v>30</v>
      </c>
      <c r="J98">
        <v>395000</v>
      </c>
      <c r="K98">
        <v>-5.39</v>
      </c>
      <c r="L98">
        <v>14</v>
      </c>
      <c r="M98">
        <v>-350</v>
      </c>
      <c r="N98">
        <v>14</v>
      </c>
      <c r="O98">
        <v>-22.22</v>
      </c>
      <c r="P98">
        <v>18</v>
      </c>
      <c r="Q98">
        <v>-28</v>
      </c>
      <c r="R98">
        <v>12</v>
      </c>
      <c r="S98">
        <v>0</v>
      </c>
    </row>
    <row r="99" spans="1:19" x14ac:dyDescent="0.2">
      <c r="A99" s="1">
        <v>45566</v>
      </c>
      <c r="B99" s="1">
        <v>45657</v>
      </c>
      <c r="C99">
        <v>2024</v>
      </c>
      <c r="D99">
        <v>10</v>
      </c>
      <c r="E99">
        <v>4</v>
      </c>
      <c r="F99" s="2" t="s">
        <v>5</v>
      </c>
      <c r="G99" s="2" t="s">
        <v>3</v>
      </c>
      <c r="H99">
        <v>12</v>
      </c>
      <c r="I99">
        <v>9.09</v>
      </c>
      <c r="J99">
        <v>415000</v>
      </c>
      <c r="K99">
        <v>-11.51</v>
      </c>
      <c r="L99">
        <v>20</v>
      </c>
      <c r="M99">
        <v>-4050</v>
      </c>
      <c r="N99">
        <v>12</v>
      </c>
      <c r="O99">
        <v>100</v>
      </c>
      <c r="P99">
        <v>18</v>
      </c>
      <c r="Q99">
        <v>-14.29</v>
      </c>
      <c r="R99">
        <v>11</v>
      </c>
      <c r="S99">
        <v>-15.38</v>
      </c>
    </row>
    <row r="100" spans="1:19" x14ac:dyDescent="0.2">
      <c r="A100" s="1">
        <v>45597</v>
      </c>
      <c r="B100" s="1">
        <v>45688</v>
      </c>
      <c r="C100">
        <v>2024</v>
      </c>
      <c r="D100">
        <v>11</v>
      </c>
      <c r="E100">
        <v>4</v>
      </c>
      <c r="F100" s="2" t="s">
        <v>5</v>
      </c>
      <c r="G100" s="2" t="s">
        <v>3</v>
      </c>
      <c r="H100">
        <v>9</v>
      </c>
      <c r="I100">
        <v>-10</v>
      </c>
      <c r="J100">
        <v>420000</v>
      </c>
      <c r="K100">
        <v>-12.41</v>
      </c>
      <c r="L100">
        <v>15</v>
      </c>
      <c r="M100">
        <v>-5650</v>
      </c>
      <c r="N100">
        <v>14</v>
      </c>
      <c r="O100">
        <v>133.33000000000001</v>
      </c>
      <c r="P100">
        <v>18</v>
      </c>
      <c r="Q100">
        <v>5.88</v>
      </c>
      <c r="R100">
        <v>10</v>
      </c>
      <c r="S100">
        <v>11.11</v>
      </c>
    </row>
    <row r="101" spans="1:19" x14ac:dyDescent="0.2">
      <c r="A101" s="1">
        <v>45627</v>
      </c>
      <c r="B101" s="1">
        <v>45716</v>
      </c>
      <c r="C101">
        <v>2024</v>
      </c>
      <c r="D101">
        <v>12</v>
      </c>
      <c r="E101">
        <v>4</v>
      </c>
      <c r="F101" s="2" t="s">
        <v>5</v>
      </c>
      <c r="G101" s="2" t="s">
        <v>3</v>
      </c>
      <c r="H101">
        <v>7</v>
      </c>
      <c r="I101">
        <v>-30</v>
      </c>
      <c r="J101">
        <v>450000</v>
      </c>
      <c r="K101">
        <v>-6.15</v>
      </c>
      <c r="L101">
        <v>14</v>
      </c>
      <c r="M101">
        <v>-5150</v>
      </c>
      <c r="N101">
        <v>17</v>
      </c>
      <c r="O101">
        <v>88.89</v>
      </c>
      <c r="P101">
        <v>22</v>
      </c>
      <c r="Q101">
        <v>37.5</v>
      </c>
      <c r="R101">
        <v>11</v>
      </c>
      <c r="S101">
        <v>-8.33</v>
      </c>
    </row>
    <row r="102" spans="1:19" x14ac:dyDescent="0.2">
      <c r="A102" s="1">
        <v>45658</v>
      </c>
      <c r="B102" s="1">
        <v>45747</v>
      </c>
      <c r="C102">
        <v>2025</v>
      </c>
      <c r="D102">
        <v>1</v>
      </c>
      <c r="E102">
        <v>1</v>
      </c>
      <c r="F102" s="2" t="s">
        <v>5</v>
      </c>
      <c r="G102" s="2" t="s">
        <v>3</v>
      </c>
      <c r="H102">
        <v>10</v>
      </c>
      <c r="I102">
        <v>0</v>
      </c>
      <c r="J102">
        <v>414000</v>
      </c>
      <c r="K102">
        <v>-7.49</v>
      </c>
      <c r="L102">
        <v>38</v>
      </c>
      <c r="M102">
        <v>1850</v>
      </c>
      <c r="N102">
        <v>17</v>
      </c>
      <c r="O102">
        <v>30.77</v>
      </c>
      <c r="P102">
        <v>24</v>
      </c>
      <c r="Q102">
        <v>50</v>
      </c>
      <c r="R102">
        <v>11</v>
      </c>
      <c r="S102">
        <v>22.22</v>
      </c>
    </row>
    <row r="103" spans="1:19" x14ac:dyDescent="0.2">
      <c r="A103" s="1">
        <v>45689</v>
      </c>
      <c r="B103" s="1">
        <v>45777</v>
      </c>
      <c r="C103">
        <v>2025</v>
      </c>
      <c r="D103">
        <v>2</v>
      </c>
      <c r="E103">
        <v>1</v>
      </c>
      <c r="F103" s="2" t="s">
        <v>5</v>
      </c>
      <c r="G103" s="2" t="s">
        <v>3</v>
      </c>
      <c r="H103">
        <v>11</v>
      </c>
      <c r="I103">
        <v>37.5</v>
      </c>
      <c r="J103">
        <v>429000</v>
      </c>
      <c r="K103">
        <v>5.28</v>
      </c>
      <c r="L103">
        <v>26</v>
      </c>
      <c r="M103">
        <v>1250</v>
      </c>
      <c r="N103">
        <v>17</v>
      </c>
      <c r="O103">
        <v>13.33</v>
      </c>
      <c r="P103">
        <v>24</v>
      </c>
      <c r="Q103">
        <v>20</v>
      </c>
      <c r="R103">
        <v>14</v>
      </c>
      <c r="S103">
        <v>-12.5</v>
      </c>
    </row>
    <row r="104" spans="1:19" x14ac:dyDescent="0.2">
      <c r="A104" s="1">
        <v>45717</v>
      </c>
      <c r="B104" s="1">
        <v>45808</v>
      </c>
      <c r="C104">
        <v>2025</v>
      </c>
      <c r="D104">
        <v>3</v>
      </c>
      <c r="E104">
        <v>1</v>
      </c>
      <c r="F104" s="2" t="s">
        <v>5</v>
      </c>
      <c r="G104" s="2" t="s">
        <v>3</v>
      </c>
      <c r="H104">
        <v>13</v>
      </c>
      <c r="I104">
        <v>-7.14</v>
      </c>
      <c r="J104">
        <v>429000</v>
      </c>
      <c r="K104">
        <v>-0.81</v>
      </c>
      <c r="L104">
        <v>30</v>
      </c>
      <c r="M104">
        <v>1400</v>
      </c>
      <c r="N104">
        <v>13</v>
      </c>
      <c r="O104">
        <v>-13.33</v>
      </c>
      <c r="P104">
        <v>23</v>
      </c>
      <c r="Q104">
        <v>21.05</v>
      </c>
      <c r="R104">
        <v>12</v>
      </c>
      <c r="S104">
        <v>-29.41</v>
      </c>
    </row>
    <row r="105" spans="1:19" x14ac:dyDescent="0.2">
      <c r="A105" s="1">
        <v>45748</v>
      </c>
      <c r="B105" s="1">
        <v>45838</v>
      </c>
      <c r="C105">
        <v>2025</v>
      </c>
      <c r="D105">
        <v>4</v>
      </c>
      <c r="E105">
        <v>2</v>
      </c>
      <c r="F105" s="2" t="s">
        <v>5</v>
      </c>
      <c r="G105" s="2" t="s">
        <v>3</v>
      </c>
      <c r="H105">
        <v>10</v>
      </c>
      <c r="I105">
        <v>-33.33</v>
      </c>
      <c r="J105">
        <v>457500</v>
      </c>
      <c r="K105">
        <v>12.96</v>
      </c>
      <c r="L105">
        <v>16</v>
      </c>
      <c r="M105">
        <v>-50</v>
      </c>
      <c r="N105">
        <v>16</v>
      </c>
      <c r="O105">
        <v>23.08</v>
      </c>
      <c r="P105">
        <v>29</v>
      </c>
      <c r="Q105">
        <v>31.82</v>
      </c>
      <c r="R105">
        <v>8</v>
      </c>
      <c r="S105">
        <v>-55.56</v>
      </c>
    </row>
    <row r="106" spans="1:19" x14ac:dyDescent="0.2">
      <c r="A106" s="1">
        <v>45778</v>
      </c>
      <c r="B106" s="1">
        <v>45869</v>
      </c>
      <c r="C106">
        <v>2025</v>
      </c>
      <c r="D106">
        <v>5</v>
      </c>
      <c r="E106">
        <v>2</v>
      </c>
      <c r="F106" s="2" t="s">
        <v>5</v>
      </c>
      <c r="G106" s="2" t="s">
        <v>3</v>
      </c>
      <c r="H106">
        <v>10</v>
      </c>
      <c r="I106">
        <v>-37.5</v>
      </c>
      <c r="J106">
        <v>450000</v>
      </c>
      <c r="K106">
        <v>7.78</v>
      </c>
      <c r="L106">
        <v>19</v>
      </c>
      <c r="M106">
        <v>150</v>
      </c>
      <c r="N106">
        <v>16</v>
      </c>
      <c r="O106">
        <v>77.78</v>
      </c>
      <c r="P106">
        <v>24</v>
      </c>
      <c r="Q106">
        <v>60</v>
      </c>
      <c r="R106">
        <v>5</v>
      </c>
      <c r="S106">
        <v>-50</v>
      </c>
    </row>
    <row r="107" spans="1:19" x14ac:dyDescent="0.2">
      <c r="A107" s="1">
        <v>45809</v>
      </c>
      <c r="B107" s="1">
        <v>45900</v>
      </c>
      <c r="C107">
        <v>2025</v>
      </c>
      <c r="D107">
        <v>6</v>
      </c>
      <c r="E107">
        <v>2</v>
      </c>
      <c r="F107" s="2" t="s">
        <v>5</v>
      </c>
      <c r="G107" s="2" t="s">
        <v>3</v>
      </c>
      <c r="H107">
        <v>10</v>
      </c>
      <c r="I107">
        <v>11.11</v>
      </c>
      <c r="J107">
        <v>417500</v>
      </c>
      <c r="K107">
        <v>4.37</v>
      </c>
      <c r="L107">
        <v>26</v>
      </c>
      <c r="M107">
        <v>0</v>
      </c>
      <c r="N107">
        <v>20</v>
      </c>
      <c r="O107">
        <v>100</v>
      </c>
      <c r="P107">
        <v>28</v>
      </c>
      <c r="Q107">
        <v>100</v>
      </c>
      <c r="R107">
        <v>8</v>
      </c>
      <c r="S107">
        <v>0</v>
      </c>
    </row>
    <row r="108" spans="1:19" x14ac:dyDescent="0.2">
      <c r="A108" s="1">
        <v>45839</v>
      </c>
      <c r="B108" s="1">
        <v>45930</v>
      </c>
      <c r="C108">
        <v>2025</v>
      </c>
      <c r="D108">
        <v>7</v>
      </c>
      <c r="E108">
        <v>3</v>
      </c>
      <c r="F108" s="2" t="s">
        <v>5</v>
      </c>
      <c r="G108" s="2" t="s">
        <v>3</v>
      </c>
      <c r="H108">
        <v>8</v>
      </c>
      <c r="I108">
        <v>14.29</v>
      </c>
      <c r="J108">
        <v>402500</v>
      </c>
      <c r="K108">
        <v>1.9</v>
      </c>
      <c r="L108">
        <v>30</v>
      </c>
      <c r="M108">
        <v>750</v>
      </c>
      <c r="N108">
        <v>15</v>
      </c>
      <c r="O108">
        <v>0</v>
      </c>
      <c r="P108">
        <v>31</v>
      </c>
      <c r="Q108">
        <v>82.35</v>
      </c>
      <c r="R108">
        <v>12</v>
      </c>
      <c r="S108">
        <v>20</v>
      </c>
    </row>
    <row r="109" spans="1:19" x14ac:dyDescent="0.2">
      <c r="A109" s="1">
        <v>45870</v>
      </c>
      <c r="B109" s="1">
        <v>45961</v>
      </c>
      <c r="C109">
        <v>2025</v>
      </c>
      <c r="D109">
        <v>8</v>
      </c>
      <c r="E109">
        <v>3</v>
      </c>
      <c r="F109" s="2" t="s">
        <v>5</v>
      </c>
      <c r="G109" s="2" t="s">
        <v>3</v>
      </c>
      <c r="H109">
        <v>11</v>
      </c>
      <c r="I109">
        <v>0</v>
      </c>
      <c r="J109">
        <v>436000</v>
      </c>
      <c r="K109">
        <v>11.79</v>
      </c>
      <c r="L109">
        <v>30</v>
      </c>
      <c r="M109">
        <v>800</v>
      </c>
      <c r="N109">
        <v>12</v>
      </c>
      <c r="O109">
        <v>-20</v>
      </c>
      <c r="P109">
        <v>29</v>
      </c>
      <c r="Q109">
        <v>61.11</v>
      </c>
      <c r="R109">
        <v>13</v>
      </c>
      <c r="S109">
        <v>0</v>
      </c>
    </row>
    <row r="110" spans="1:19" x14ac:dyDescent="0.2">
      <c r="A110" s="1">
        <v>45901</v>
      </c>
      <c r="B110" s="1">
        <v>45991</v>
      </c>
      <c r="C110">
        <v>2025</v>
      </c>
      <c r="D110">
        <v>9</v>
      </c>
      <c r="E110">
        <v>3</v>
      </c>
      <c r="F110" s="2" t="s">
        <v>5</v>
      </c>
      <c r="G110" s="2" t="s">
        <v>3</v>
      </c>
      <c r="H110">
        <v>10</v>
      </c>
      <c r="I110">
        <v>-23.08</v>
      </c>
      <c r="J110">
        <v>448000</v>
      </c>
      <c r="K110">
        <v>13.42</v>
      </c>
      <c r="L110">
        <v>26</v>
      </c>
      <c r="M110">
        <v>1150</v>
      </c>
      <c r="N110">
        <v>8</v>
      </c>
      <c r="O110">
        <v>-42.86</v>
      </c>
      <c r="P110">
        <v>26</v>
      </c>
      <c r="Q110">
        <v>44.44</v>
      </c>
      <c r="R110">
        <v>12</v>
      </c>
      <c r="S110">
        <v>0</v>
      </c>
    </row>
    <row r="111" spans="1:19" x14ac:dyDescent="0.2">
      <c r="A111" s="1">
        <v>45931</v>
      </c>
      <c r="B111" s="1">
        <v>46022</v>
      </c>
      <c r="C111">
        <v>2025</v>
      </c>
      <c r="D111">
        <v>10</v>
      </c>
      <c r="E111">
        <v>4</v>
      </c>
      <c r="F111" s="2" t="s">
        <v>5</v>
      </c>
      <c r="G111" s="2" t="s">
        <v>3</v>
      </c>
      <c r="H111">
        <v>11</v>
      </c>
      <c r="I111">
        <v>-8.33</v>
      </c>
      <c r="J111">
        <v>460000</v>
      </c>
      <c r="K111">
        <v>10.84</v>
      </c>
      <c r="L111">
        <v>26</v>
      </c>
      <c r="M111">
        <v>650</v>
      </c>
      <c r="N111">
        <v>4</v>
      </c>
      <c r="O111">
        <v>-66.67</v>
      </c>
      <c r="P111">
        <v>21</v>
      </c>
      <c r="Q111">
        <v>16.670000000000002</v>
      </c>
      <c r="R111">
        <v>10</v>
      </c>
      <c r="S111">
        <v>-9.09</v>
      </c>
    </row>
    <row r="112" spans="1:19" x14ac:dyDescent="0.2">
      <c r="A112" s="1">
        <v>45962</v>
      </c>
      <c r="B112" s="1">
        <v>46053</v>
      </c>
      <c r="C112">
        <v>2025</v>
      </c>
      <c r="D112">
        <v>11</v>
      </c>
      <c r="E112">
        <v>4</v>
      </c>
      <c r="F112" s="2" t="s">
        <v>5</v>
      </c>
      <c r="G112" s="2" t="s">
        <v>3</v>
      </c>
      <c r="H112">
        <v>6</v>
      </c>
      <c r="I112">
        <v>-33.33</v>
      </c>
      <c r="J112">
        <v>402500</v>
      </c>
      <c r="K112">
        <v>-4.17</v>
      </c>
      <c r="L112">
        <v>60</v>
      </c>
      <c r="M112">
        <v>4450</v>
      </c>
      <c r="N112">
        <v>7</v>
      </c>
      <c r="O112">
        <v>-50</v>
      </c>
      <c r="P112">
        <v>20</v>
      </c>
      <c r="Q112">
        <v>11.11</v>
      </c>
      <c r="R112">
        <v>8</v>
      </c>
      <c r="S112">
        <v>-20</v>
      </c>
    </row>
    <row r="113" spans="1:19" x14ac:dyDescent="0.2">
      <c r="A113" s="1">
        <v>45992</v>
      </c>
      <c r="B113" s="1">
        <v>46081</v>
      </c>
      <c r="C113">
        <v>2025</v>
      </c>
      <c r="D113">
        <v>12</v>
      </c>
      <c r="E113">
        <v>4</v>
      </c>
      <c r="F113" s="2" t="s">
        <v>5</v>
      </c>
      <c r="G113" s="2" t="s">
        <v>3</v>
      </c>
      <c r="H113">
        <v>5</v>
      </c>
      <c r="I113">
        <v>-28.57</v>
      </c>
      <c r="J113">
        <v>460000</v>
      </c>
      <c r="K113">
        <v>2.2200000000000002</v>
      </c>
      <c r="L113">
        <v>130</v>
      </c>
      <c r="M113">
        <v>11550</v>
      </c>
      <c r="N113">
        <v>10</v>
      </c>
      <c r="O113">
        <v>-41.18</v>
      </c>
      <c r="P113">
        <v>20</v>
      </c>
      <c r="Q113">
        <v>-9.09</v>
      </c>
      <c r="R113">
        <v>9</v>
      </c>
      <c r="S113">
        <v>-18.18</v>
      </c>
    </row>
    <row r="114" spans="1:19" x14ac:dyDescent="0.2">
      <c r="A114" s="1">
        <v>46023</v>
      </c>
      <c r="B114" s="1">
        <v>46112</v>
      </c>
      <c r="C114">
        <v>2026</v>
      </c>
      <c r="D114">
        <v>1</v>
      </c>
      <c r="E114">
        <v>1</v>
      </c>
      <c r="F114" s="2" t="s">
        <v>5</v>
      </c>
      <c r="G114" s="2" t="s">
        <v>3</v>
      </c>
      <c r="H114">
        <v>8</v>
      </c>
      <c r="I114">
        <v>-20</v>
      </c>
      <c r="J114">
        <v>442500</v>
      </c>
      <c r="K114">
        <v>6.88</v>
      </c>
      <c r="L114">
        <v>65</v>
      </c>
      <c r="M114">
        <v>2750</v>
      </c>
      <c r="N114">
        <v>16</v>
      </c>
      <c r="O114">
        <v>-5.88</v>
      </c>
      <c r="P114">
        <v>21</v>
      </c>
      <c r="Q114">
        <v>-12.5</v>
      </c>
      <c r="R114">
        <v>10</v>
      </c>
      <c r="S114">
        <v>-9.09</v>
      </c>
    </row>
    <row r="115" spans="1:19" x14ac:dyDescent="0.2">
      <c r="A115" s="1">
        <v>46054</v>
      </c>
      <c r="B115" s="1">
        <v>46142</v>
      </c>
      <c r="C115">
        <v>2026</v>
      </c>
      <c r="D115">
        <v>2</v>
      </c>
      <c r="E115">
        <v>1</v>
      </c>
      <c r="F115" s="2" t="s">
        <v>5</v>
      </c>
      <c r="G115" s="2" t="s">
        <v>3</v>
      </c>
      <c r="H115">
        <v>9</v>
      </c>
      <c r="I115">
        <v>-16.25</v>
      </c>
      <c r="J115">
        <v>399794</v>
      </c>
      <c r="K115">
        <v>-6.81</v>
      </c>
      <c r="L115">
        <v>36</v>
      </c>
      <c r="M115">
        <v>1005.44</v>
      </c>
      <c r="N115">
        <v>17</v>
      </c>
      <c r="O115">
        <v>0.8</v>
      </c>
      <c r="P115">
        <v>23</v>
      </c>
      <c r="Q115">
        <v>-3.61</v>
      </c>
      <c r="R115">
        <v>13</v>
      </c>
      <c r="S115">
        <v>-6.34</v>
      </c>
    </row>
    <row r="116" spans="1:19" x14ac:dyDescent="0.2">
      <c r="A116" s="1">
        <v>44927</v>
      </c>
      <c r="B116" s="1">
        <v>45016</v>
      </c>
      <c r="C116">
        <v>2023</v>
      </c>
      <c r="D116">
        <v>1</v>
      </c>
      <c r="E116">
        <v>1</v>
      </c>
      <c r="F116" s="2" t="s">
        <v>5</v>
      </c>
      <c r="G116" s="2" t="s">
        <v>1</v>
      </c>
      <c r="H116">
        <v>76</v>
      </c>
      <c r="I116">
        <v>-29.63</v>
      </c>
      <c r="J116">
        <v>450000</v>
      </c>
      <c r="K116">
        <v>2.16</v>
      </c>
      <c r="L116">
        <v>57</v>
      </c>
      <c r="M116">
        <v>3850</v>
      </c>
      <c r="N116">
        <v>90</v>
      </c>
      <c r="O116">
        <v>-36.619999999999997</v>
      </c>
      <c r="P116">
        <v>177</v>
      </c>
      <c r="Q116">
        <v>-5.85</v>
      </c>
      <c r="R116">
        <v>107</v>
      </c>
      <c r="S116">
        <v>-24.11</v>
      </c>
    </row>
    <row r="117" spans="1:19" x14ac:dyDescent="0.2">
      <c r="A117" s="1">
        <v>44958</v>
      </c>
      <c r="B117" s="1">
        <v>45046</v>
      </c>
      <c r="C117">
        <v>2023</v>
      </c>
      <c r="D117">
        <v>2</v>
      </c>
      <c r="E117">
        <v>1</v>
      </c>
      <c r="F117" s="2" t="s">
        <v>5</v>
      </c>
      <c r="G117" s="2" t="s">
        <v>1</v>
      </c>
      <c r="H117">
        <v>93</v>
      </c>
      <c r="I117">
        <v>-27.91</v>
      </c>
      <c r="J117">
        <v>456250</v>
      </c>
      <c r="K117">
        <v>0.83</v>
      </c>
      <c r="L117">
        <v>42</v>
      </c>
      <c r="M117">
        <v>2900</v>
      </c>
      <c r="N117">
        <v>112</v>
      </c>
      <c r="O117">
        <v>-32.93</v>
      </c>
      <c r="P117">
        <v>194</v>
      </c>
      <c r="Q117">
        <v>-5.83</v>
      </c>
      <c r="R117">
        <v>126</v>
      </c>
      <c r="S117">
        <v>-14.86</v>
      </c>
    </row>
    <row r="118" spans="1:19" x14ac:dyDescent="0.2">
      <c r="A118" s="1">
        <v>44986</v>
      </c>
      <c r="B118" s="1">
        <v>45077</v>
      </c>
      <c r="C118">
        <v>2023</v>
      </c>
      <c r="D118">
        <v>3</v>
      </c>
      <c r="E118">
        <v>1</v>
      </c>
      <c r="F118" s="2" t="s">
        <v>5</v>
      </c>
      <c r="G118" s="2" t="s">
        <v>1</v>
      </c>
      <c r="H118">
        <v>110</v>
      </c>
      <c r="I118">
        <v>-26.17</v>
      </c>
      <c r="J118">
        <v>460000</v>
      </c>
      <c r="K118">
        <v>0</v>
      </c>
      <c r="L118">
        <v>31</v>
      </c>
      <c r="M118">
        <v>1700</v>
      </c>
      <c r="N118">
        <v>114</v>
      </c>
      <c r="O118">
        <v>-35.96</v>
      </c>
      <c r="P118">
        <v>192</v>
      </c>
      <c r="Q118">
        <v>-12.73</v>
      </c>
      <c r="R118">
        <v>127</v>
      </c>
      <c r="S118">
        <v>-11.81</v>
      </c>
    </row>
    <row r="119" spans="1:19" x14ac:dyDescent="0.2">
      <c r="A119" s="1">
        <v>45017</v>
      </c>
      <c r="B119" s="1">
        <v>45107</v>
      </c>
      <c r="C119">
        <v>2023</v>
      </c>
      <c r="D119">
        <v>4</v>
      </c>
      <c r="E119">
        <v>2</v>
      </c>
      <c r="F119" s="2" t="s">
        <v>5</v>
      </c>
      <c r="G119" s="2" t="s">
        <v>1</v>
      </c>
      <c r="H119">
        <v>100</v>
      </c>
      <c r="I119">
        <v>-24.24</v>
      </c>
      <c r="J119">
        <v>457750</v>
      </c>
      <c r="K119">
        <v>-4.6399999999999997</v>
      </c>
      <c r="L119">
        <v>23</v>
      </c>
      <c r="M119">
        <v>900</v>
      </c>
      <c r="N119">
        <v>122</v>
      </c>
      <c r="O119">
        <v>-26.95</v>
      </c>
      <c r="P119">
        <v>177</v>
      </c>
      <c r="Q119">
        <v>-16.510000000000002</v>
      </c>
      <c r="R119">
        <v>114</v>
      </c>
      <c r="S119">
        <v>-13.64</v>
      </c>
    </row>
    <row r="120" spans="1:19" x14ac:dyDescent="0.2">
      <c r="A120" s="1">
        <v>45047</v>
      </c>
      <c r="B120" s="1">
        <v>45138</v>
      </c>
      <c r="C120">
        <v>2023</v>
      </c>
      <c r="D120">
        <v>5</v>
      </c>
      <c r="E120">
        <v>2</v>
      </c>
      <c r="F120" s="2" t="s">
        <v>5</v>
      </c>
      <c r="G120" s="2" t="s">
        <v>1</v>
      </c>
      <c r="H120">
        <v>96</v>
      </c>
      <c r="I120">
        <v>-20.66</v>
      </c>
      <c r="J120">
        <v>459000</v>
      </c>
      <c r="K120">
        <v>-5.82</v>
      </c>
      <c r="L120">
        <v>23</v>
      </c>
      <c r="M120">
        <v>750</v>
      </c>
      <c r="N120">
        <v>118</v>
      </c>
      <c r="O120">
        <v>-24.84</v>
      </c>
      <c r="P120">
        <v>181</v>
      </c>
      <c r="Q120">
        <v>-16.97</v>
      </c>
      <c r="R120">
        <v>107</v>
      </c>
      <c r="S120">
        <v>-4.46</v>
      </c>
    </row>
    <row r="121" spans="1:19" x14ac:dyDescent="0.2">
      <c r="A121" s="1">
        <v>45078</v>
      </c>
      <c r="B121" s="1">
        <v>45169</v>
      </c>
      <c r="C121">
        <v>2023</v>
      </c>
      <c r="D121">
        <v>6</v>
      </c>
      <c r="E121">
        <v>2</v>
      </c>
      <c r="F121" s="2" t="s">
        <v>5</v>
      </c>
      <c r="G121" s="2" t="s">
        <v>1</v>
      </c>
      <c r="H121">
        <v>96</v>
      </c>
      <c r="I121">
        <v>-13.51</v>
      </c>
      <c r="J121">
        <v>450000</v>
      </c>
      <c r="K121">
        <v>-5.0599999999999996</v>
      </c>
      <c r="L121">
        <v>20</v>
      </c>
      <c r="M121">
        <v>-400</v>
      </c>
      <c r="N121">
        <v>108</v>
      </c>
      <c r="O121">
        <v>-28</v>
      </c>
      <c r="P121">
        <v>167</v>
      </c>
      <c r="Q121">
        <v>-28.94</v>
      </c>
      <c r="R121">
        <v>115</v>
      </c>
      <c r="S121">
        <v>-1.71</v>
      </c>
    </row>
    <row r="122" spans="1:19" x14ac:dyDescent="0.2">
      <c r="A122" s="1">
        <v>45108</v>
      </c>
      <c r="B122" s="1">
        <v>45199</v>
      </c>
      <c r="C122">
        <v>2023</v>
      </c>
      <c r="D122">
        <v>7</v>
      </c>
      <c r="E122">
        <v>3</v>
      </c>
      <c r="F122" s="2" t="s">
        <v>5</v>
      </c>
      <c r="G122" s="2" t="s">
        <v>1</v>
      </c>
      <c r="H122">
        <v>106</v>
      </c>
      <c r="I122">
        <v>-7.02</v>
      </c>
      <c r="J122">
        <v>473500</v>
      </c>
      <c r="K122">
        <v>3.05</v>
      </c>
      <c r="L122">
        <v>28</v>
      </c>
      <c r="M122">
        <v>-550</v>
      </c>
      <c r="N122">
        <v>118</v>
      </c>
      <c r="O122">
        <v>-23.87</v>
      </c>
      <c r="P122">
        <v>189</v>
      </c>
      <c r="Q122">
        <v>-23.79</v>
      </c>
      <c r="R122">
        <v>120</v>
      </c>
      <c r="S122">
        <v>3.45</v>
      </c>
    </row>
    <row r="123" spans="1:19" x14ac:dyDescent="0.2">
      <c r="A123" s="1">
        <v>45139</v>
      </c>
      <c r="B123" s="1">
        <v>45230</v>
      </c>
      <c r="C123">
        <v>2023</v>
      </c>
      <c r="D123">
        <v>8</v>
      </c>
      <c r="E123">
        <v>3</v>
      </c>
      <c r="F123" s="2" t="s">
        <v>5</v>
      </c>
      <c r="G123" s="2" t="s">
        <v>1</v>
      </c>
      <c r="H123">
        <v>106</v>
      </c>
      <c r="I123">
        <v>-3.64</v>
      </c>
      <c r="J123">
        <v>480000</v>
      </c>
      <c r="K123">
        <v>9.09</v>
      </c>
      <c r="L123">
        <v>34</v>
      </c>
      <c r="M123">
        <v>-550</v>
      </c>
      <c r="N123">
        <v>116</v>
      </c>
      <c r="O123">
        <v>-15.94</v>
      </c>
      <c r="P123">
        <v>177</v>
      </c>
      <c r="Q123">
        <v>-27.46</v>
      </c>
      <c r="R123">
        <v>115</v>
      </c>
      <c r="S123">
        <v>3.6</v>
      </c>
    </row>
    <row r="124" spans="1:19" x14ac:dyDescent="0.2">
      <c r="A124" s="1">
        <v>45170</v>
      </c>
      <c r="B124" s="1">
        <v>45260</v>
      </c>
      <c r="C124">
        <v>2023</v>
      </c>
      <c r="D124">
        <v>9</v>
      </c>
      <c r="E124">
        <v>3</v>
      </c>
      <c r="F124" s="2" t="s">
        <v>5</v>
      </c>
      <c r="G124" s="2" t="s">
        <v>1</v>
      </c>
      <c r="H124">
        <v>87</v>
      </c>
      <c r="I124">
        <v>-4.4000000000000004</v>
      </c>
      <c r="J124">
        <v>489990</v>
      </c>
      <c r="K124">
        <v>11.87</v>
      </c>
      <c r="L124">
        <v>38</v>
      </c>
      <c r="M124">
        <v>-950</v>
      </c>
      <c r="N124">
        <v>108</v>
      </c>
      <c r="O124">
        <v>-5.26</v>
      </c>
      <c r="P124">
        <v>158</v>
      </c>
      <c r="Q124">
        <v>-29.78</v>
      </c>
      <c r="R124">
        <v>96</v>
      </c>
      <c r="S124">
        <v>1.05</v>
      </c>
    </row>
    <row r="125" spans="1:19" x14ac:dyDescent="0.2">
      <c r="A125" s="1">
        <v>45200</v>
      </c>
      <c r="B125" s="1">
        <v>45291</v>
      </c>
      <c r="C125">
        <v>2023</v>
      </c>
      <c r="D125">
        <v>10</v>
      </c>
      <c r="E125">
        <v>4</v>
      </c>
      <c r="F125" s="2" t="s">
        <v>5</v>
      </c>
      <c r="G125" s="2" t="s">
        <v>1</v>
      </c>
      <c r="H125">
        <v>72</v>
      </c>
      <c r="I125">
        <v>-15.29</v>
      </c>
      <c r="J125">
        <v>500000</v>
      </c>
      <c r="K125">
        <v>13.64</v>
      </c>
      <c r="L125">
        <v>36</v>
      </c>
      <c r="M125">
        <v>-1300</v>
      </c>
      <c r="N125">
        <v>76</v>
      </c>
      <c r="O125">
        <v>-1.3</v>
      </c>
      <c r="P125">
        <v>147</v>
      </c>
      <c r="Q125">
        <v>-23.83</v>
      </c>
      <c r="R125">
        <v>80</v>
      </c>
      <c r="S125">
        <v>-1.23</v>
      </c>
    </row>
    <row r="126" spans="1:19" x14ac:dyDescent="0.2">
      <c r="A126" s="1">
        <v>45231</v>
      </c>
      <c r="B126" s="1">
        <v>45322</v>
      </c>
      <c r="C126">
        <v>2023</v>
      </c>
      <c r="D126">
        <v>11</v>
      </c>
      <c r="E126">
        <v>4</v>
      </c>
      <c r="F126" s="2" t="s">
        <v>5</v>
      </c>
      <c r="G126" s="2" t="s">
        <v>1</v>
      </c>
      <c r="H126">
        <v>70</v>
      </c>
      <c r="I126">
        <v>9.3800000000000008</v>
      </c>
      <c r="J126">
        <v>495000</v>
      </c>
      <c r="K126">
        <v>10</v>
      </c>
      <c r="L126">
        <v>49</v>
      </c>
      <c r="M126">
        <v>650</v>
      </c>
      <c r="N126">
        <v>83</v>
      </c>
      <c r="O126">
        <v>36.07</v>
      </c>
      <c r="P126">
        <v>156</v>
      </c>
      <c r="Q126">
        <v>-4.88</v>
      </c>
      <c r="R126">
        <v>83</v>
      </c>
      <c r="S126">
        <v>25.76</v>
      </c>
    </row>
    <row r="127" spans="1:19" x14ac:dyDescent="0.2">
      <c r="A127" s="1">
        <v>45261</v>
      </c>
      <c r="B127" s="1">
        <v>45351</v>
      </c>
      <c r="C127">
        <v>2023</v>
      </c>
      <c r="D127">
        <v>12</v>
      </c>
      <c r="E127">
        <v>4</v>
      </c>
      <c r="F127" s="2" t="s">
        <v>5</v>
      </c>
      <c r="G127" s="2" t="s">
        <v>1</v>
      </c>
      <c r="H127">
        <v>81</v>
      </c>
      <c r="I127">
        <v>35</v>
      </c>
      <c r="J127">
        <v>485000</v>
      </c>
      <c r="K127">
        <v>7.78</v>
      </c>
      <c r="L127">
        <v>45</v>
      </c>
      <c r="M127">
        <v>-2700</v>
      </c>
      <c r="N127">
        <v>101</v>
      </c>
      <c r="O127">
        <v>40.28</v>
      </c>
      <c r="P127">
        <v>167</v>
      </c>
      <c r="Q127">
        <v>-4.0199999999999996</v>
      </c>
      <c r="R127">
        <v>93</v>
      </c>
      <c r="S127">
        <v>13.41</v>
      </c>
    </row>
    <row r="128" spans="1:19" x14ac:dyDescent="0.2">
      <c r="A128" s="1">
        <v>45292</v>
      </c>
      <c r="B128" s="1">
        <v>45382</v>
      </c>
      <c r="C128">
        <v>2024</v>
      </c>
      <c r="D128">
        <v>1</v>
      </c>
      <c r="E128">
        <v>1</v>
      </c>
      <c r="F128" s="2" t="s">
        <v>5</v>
      </c>
      <c r="G128" s="2" t="s">
        <v>1</v>
      </c>
      <c r="H128">
        <v>84</v>
      </c>
      <c r="I128">
        <v>10.53</v>
      </c>
      <c r="J128">
        <v>472500</v>
      </c>
      <c r="K128">
        <v>5</v>
      </c>
      <c r="L128">
        <v>42</v>
      </c>
      <c r="M128">
        <v>-1500</v>
      </c>
      <c r="N128">
        <v>119</v>
      </c>
      <c r="O128">
        <v>32.22</v>
      </c>
      <c r="P128">
        <v>176</v>
      </c>
      <c r="Q128">
        <v>-0.56000000000000005</v>
      </c>
      <c r="R128">
        <v>97</v>
      </c>
      <c r="S128">
        <v>-9.35</v>
      </c>
    </row>
    <row r="129" spans="1:19" x14ac:dyDescent="0.2">
      <c r="A129" s="1">
        <v>45323</v>
      </c>
      <c r="B129" s="1">
        <v>45412</v>
      </c>
      <c r="C129">
        <v>2024</v>
      </c>
      <c r="D129">
        <v>2</v>
      </c>
      <c r="E129">
        <v>1</v>
      </c>
      <c r="F129" s="2" t="s">
        <v>5</v>
      </c>
      <c r="G129" s="2" t="s">
        <v>1</v>
      </c>
      <c r="H129">
        <v>81</v>
      </c>
      <c r="I129">
        <v>-12.9</v>
      </c>
      <c r="J129">
        <v>480000</v>
      </c>
      <c r="K129">
        <v>5.21</v>
      </c>
      <c r="L129">
        <v>30</v>
      </c>
      <c r="M129">
        <v>-1200</v>
      </c>
      <c r="N129">
        <v>122</v>
      </c>
      <c r="O129">
        <v>8.93</v>
      </c>
      <c r="P129">
        <v>173</v>
      </c>
      <c r="Q129">
        <v>-10.82</v>
      </c>
      <c r="R129">
        <v>99</v>
      </c>
      <c r="S129">
        <v>-21.43</v>
      </c>
    </row>
    <row r="130" spans="1:19" x14ac:dyDescent="0.2">
      <c r="A130" s="1">
        <v>45352</v>
      </c>
      <c r="B130" s="1">
        <v>45443</v>
      </c>
      <c r="C130">
        <v>2024</v>
      </c>
      <c r="D130">
        <v>3</v>
      </c>
      <c r="E130">
        <v>1</v>
      </c>
      <c r="F130" s="2" t="s">
        <v>5</v>
      </c>
      <c r="G130" s="2" t="s">
        <v>1</v>
      </c>
      <c r="H130">
        <v>88</v>
      </c>
      <c r="I130">
        <v>-20</v>
      </c>
      <c r="J130">
        <v>480000</v>
      </c>
      <c r="K130">
        <v>4.3499999999999996</v>
      </c>
      <c r="L130">
        <v>23</v>
      </c>
      <c r="M130">
        <v>-800</v>
      </c>
      <c r="N130">
        <v>124</v>
      </c>
      <c r="O130">
        <v>8.77</v>
      </c>
      <c r="P130">
        <v>176</v>
      </c>
      <c r="Q130">
        <v>-8.33</v>
      </c>
      <c r="R130">
        <v>104</v>
      </c>
      <c r="S130">
        <v>-18.11</v>
      </c>
    </row>
    <row r="131" spans="1:19" x14ac:dyDescent="0.2">
      <c r="A131" s="1">
        <v>45383</v>
      </c>
      <c r="B131" s="1">
        <v>45473</v>
      </c>
      <c r="C131">
        <v>2024</v>
      </c>
      <c r="D131">
        <v>4</v>
      </c>
      <c r="E131">
        <v>2</v>
      </c>
      <c r="F131" s="2" t="s">
        <v>5</v>
      </c>
      <c r="G131" s="2" t="s">
        <v>1</v>
      </c>
      <c r="H131">
        <v>92</v>
      </c>
      <c r="I131">
        <v>-8</v>
      </c>
      <c r="J131">
        <v>473490</v>
      </c>
      <c r="K131">
        <v>3.44</v>
      </c>
      <c r="L131">
        <v>24</v>
      </c>
      <c r="M131">
        <v>100</v>
      </c>
      <c r="N131">
        <v>118</v>
      </c>
      <c r="O131">
        <v>-3.28</v>
      </c>
      <c r="P131">
        <v>180</v>
      </c>
      <c r="Q131">
        <v>1.69</v>
      </c>
      <c r="R131">
        <v>103</v>
      </c>
      <c r="S131">
        <v>-9.65</v>
      </c>
    </row>
    <row r="132" spans="1:19" x14ac:dyDescent="0.2">
      <c r="A132" s="1">
        <v>45413</v>
      </c>
      <c r="B132" s="1">
        <v>45504</v>
      </c>
      <c r="C132">
        <v>2024</v>
      </c>
      <c r="D132">
        <v>5</v>
      </c>
      <c r="E132">
        <v>2</v>
      </c>
      <c r="F132" s="2" t="s">
        <v>5</v>
      </c>
      <c r="G132" s="2" t="s">
        <v>1</v>
      </c>
      <c r="H132">
        <v>96</v>
      </c>
      <c r="I132">
        <v>0</v>
      </c>
      <c r="J132">
        <v>464995</v>
      </c>
      <c r="K132">
        <v>1.31</v>
      </c>
      <c r="L132">
        <v>28</v>
      </c>
      <c r="M132">
        <v>550</v>
      </c>
      <c r="N132">
        <v>120</v>
      </c>
      <c r="O132">
        <v>1.69</v>
      </c>
      <c r="P132">
        <v>191</v>
      </c>
      <c r="Q132">
        <v>5.52</v>
      </c>
      <c r="R132">
        <v>110</v>
      </c>
      <c r="S132">
        <v>2.8</v>
      </c>
    </row>
    <row r="133" spans="1:19" x14ac:dyDescent="0.2">
      <c r="A133" s="1">
        <v>45444</v>
      </c>
      <c r="B133" s="1">
        <v>45535</v>
      </c>
      <c r="C133">
        <v>2024</v>
      </c>
      <c r="D133">
        <v>6</v>
      </c>
      <c r="E133">
        <v>2</v>
      </c>
      <c r="F133" s="2" t="s">
        <v>5</v>
      </c>
      <c r="G133" s="2" t="s">
        <v>1</v>
      </c>
      <c r="H133">
        <v>97</v>
      </c>
      <c r="I133">
        <v>1.04</v>
      </c>
      <c r="J133">
        <v>462000</v>
      </c>
      <c r="K133">
        <v>2.67</v>
      </c>
      <c r="L133">
        <v>35</v>
      </c>
      <c r="M133">
        <v>1550</v>
      </c>
      <c r="N133">
        <v>117</v>
      </c>
      <c r="O133">
        <v>8.33</v>
      </c>
      <c r="P133">
        <v>186</v>
      </c>
      <c r="Q133">
        <v>11.38</v>
      </c>
      <c r="R133">
        <v>107</v>
      </c>
      <c r="S133">
        <v>-6.96</v>
      </c>
    </row>
    <row r="134" spans="1:19" x14ac:dyDescent="0.2">
      <c r="A134" s="1">
        <v>45474</v>
      </c>
      <c r="B134" s="1">
        <v>45565</v>
      </c>
      <c r="C134">
        <v>2024</v>
      </c>
      <c r="D134">
        <v>7</v>
      </c>
      <c r="E134">
        <v>3</v>
      </c>
      <c r="F134" s="2" t="s">
        <v>5</v>
      </c>
      <c r="G134" s="2" t="s">
        <v>1</v>
      </c>
      <c r="H134">
        <v>94</v>
      </c>
      <c r="I134">
        <v>-11.32</v>
      </c>
      <c r="J134">
        <v>468995</v>
      </c>
      <c r="K134">
        <v>-0.95</v>
      </c>
      <c r="L134">
        <v>31</v>
      </c>
      <c r="M134">
        <v>300</v>
      </c>
      <c r="N134">
        <v>137</v>
      </c>
      <c r="O134">
        <v>16.100000000000001</v>
      </c>
      <c r="P134">
        <v>207</v>
      </c>
      <c r="Q134">
        <v>9.52</v>
      </c>
      <c r="R134">
        <v>117</v>
      </c>
      <c r="S134">
        <v>-2.5</v>
      </c>
    </row>
    <row r="135" spans="1:19" x14ac:dyDescent="0.2">
      <c r="A135" s="1">
        <v>45505</v>
      </c>
      <c r="B135" s="1">
        <v>45596</v>
      </c>
      <c r="C135">
        <v>2024</v>
      </c>
      <c r="D135">
        <v>8</v>
      </c>
      <c r="E135">
        <v>3</v>
      </c>
      <c r="F135" s="2" t="s">
        <v>5</v>
      </c>
      <c r="G135" s="2" t="s">
        <v>1</v>
      </c>
      <c r="H135">
        <v>109</v>
      </c>
      <c r="I135">
        <v>2.83</v>
      </c>
      <c r="J135">
        <v>468500</v>
      </c>
      <c r="K135">
        <v>-2.4</v>
      </c>
      <c r="L135">
        <v>31</v>
      </c>
      <c r="M135">
        <v>-300</v>
      </c>
      <c r="N135">
        <v>135</v>
      </c>
      <c r="O135">
        <v>16.38</v>
      </c>
      <c r="P135">
        <v>210</v>
      </c>
      <c r="Q135">
        <v>18.64</v>
      </c>
      <c r="R135">
        <v>123</v>
      </c>
      <c r="S135">
        <v>6.96</v>
      </c>
    </row>
    <row r="136" spans="1:19" x14ac:dyDescent="0.2">
      <c r="A136" s="1">
        <v>45536</v>
      </c>
      <c r="B136" s="1">
        <v>45626</v>
      </c>
      <c r="C136">
        <v>2024</v>
      </c>
      <c r="D136">
        <v>9</v>
      </c>
      <c r="E136">
        <v>3</v>
      </c>
      <c r="F136" s="2" t="s">
        <v>5</v>
      </c>
      <c r="G136" s="2" t="s">
        <v>1</v>
      </c>
      <c r="H136">
        <v>105</v>
      </c>
      <c r="I136">
        <v>20.69</v>
      </c>
      <c r="J136">
        <v>469495</v>
      </c>
      <c r="K136">
        <v>-4.18</v>
      </c>
      <c r="L136">
        <v>31</v>
      </c>
      <c r="M136">
        <v>-650</v>
      </c>
      <c r="N136">
        <v>123</v>
      </c>
      <c r="O136">
        <v>13.89</v>
      </c>
      <c r="P136">
        <v>195</v>
      </c>
      <c r="Q136">
        <v>23.42</v>
      </c>
      <c r="R136">
        <v>109</v>
      </c>
      <c r="S136">
        <v>13.54</v>
      </c>
    </row>
    <row r="137" spans="1:19" x14ac:dyDescent="0.2">
      <c r="A137" s="1">
        <v>45566</v>
      </c>
      <c r="B137" s="1">
        <v>45657</v>
      </c>
      <c r="C137">
        <v>2024</v>
      </c>
      <c r="D137">
        <v>10</v>
      </c>
      <c r="E137">
        <v>4</v>
      </c>
      <c r="F137" s="2" t="s">
        <v>5</v>
      </c>
      <c r="G137" s="2" t="s">
        <v>1</v>
      </c>
      <c r="H137">
        <v>103</v>
      </c>
      <c r="I137">
        <v>43.06</v>
      </c>
      <c r="J137">
        <v>478490</v>
      </c>
      <c r="K137">
        <v>-4.3</v>
      </c>
      <c r="L137">
        <v>28</v>
      </c>
      <c r="M137">
        <v>-800</v>
      </c>
      <c r="N137">
        <v>90</v>
      </c>
      <c r="O137">
        <v>18.420000000000002</v>
      </c>
      <c r="P137">
        <v>179</v>
      </c>
      <c r="Q137">
        <v>21.77</v>
      </c>
      <c r="R137">
        <v>90</v>
      </c>
      <c r="S137">
        <v>12.5</v>
      </c>
    </row>
    <row r="138" spans="1:19" x14ac:dyDescent="0.2">
      <c r="A138" s="1">
        <v>45597</v>
      </c>
      <c r="B138" s="1">
        <v>45688</v>
      </c>
      <c r="C138">
        <v>2024</v>
      </c>
      <c r="D138">
        <v>11</v>
      </c>
      <c r="E138">
        <v>4</v>
      </c>
      <c r="F138" s="2" t="s">
        <v>5</v>
      </c>
      <c r="G138" s="2" t="s">
        <v>1</v>
      </c>
      <c r="H138">
        <v>81</v>
      </c>
      <c r="I138">
        <v>15.71</v>
      </c>
      <c r="J138">
        <v>489390</v>
      </c>
      <c r="K138">
        <v>-1.1299999999999999</v>
      </c>
      <c r="L138">
        <v>35</v>
      </c>
      <c r="M138">
        <v>-1400</v>
      </c>
      <c r="N138">
        <v>86</v>
      </c>
      <c r="O138">
        <v>3.61</v>
      </c>
      <c r="P138">
        <v>164</v>
      </c>
      <c r="Q138">
        <v>5.13</v>
      </c>
      <c r="R138">
        <v>77</v>
      </c>
      <c r="S138">
        <v>-7.23</v>
      </c>
    </row>
    <row r="139" spans="1:19" x14ac:dyDescent="0.2">
      <c r="A139" s="1">
        <v>45627</v>
      </c>
      <c r="B139" s="1">
        <v>45716</v>
      </c>
      <c r="C139">
        <v>2024</v>
      </c>
      <c r="D139">
        <v>12</v>
      </c>
      <c r="E139">
        <v>4</v>
      </c>
      <c r="F139" s="2" t="s">
        <v>5</v>
      </c>
      <c r="G139" s="2" t="s">
        <v>1</v>
      </c>
      <c r="H139">
        <v>67</v>
      </c>
      <c r="I139">
        <v>-17.28</v>
      </c>
      <c r="J139">
        <v>490636</v>
      </c>
      <c r="K139">
        <v>1.1599999999999999</v>
      </c>
      <c r="L139">
        <v>40</v>
      </c>
      <c r="M139">
        <v>-500</v>
      </c>
      <c r="N139">
        <v>92</v>
      </c>
      <c r="O139">
        <v>-8.91</v>
      </c>
      <c r="P139">
        <v>164</v>
      </c>
      <c r="Q139">
        <v>-1.8</v>
      </c>
      <c r="R139">
        <v>74</v>
      </c>
      <c r="S139">
        <v>-20.43</v>
      </c>
    </row>
    <row r="140" spans="1:19" x14ac:dyDescent="0.2">
      <c r="A140" s="1">
        <v>45658</v>
      </c>
      <c r="B140" s="1">
        <v>45747</v>
      </c>
      <c r="C140">
        <v>2025</v>
      </c>
      <c r="D140">
        <v>1</v>
      </c>
      <c r="E140">
        <v>1</v>
      </c>
      <c r="F140" s="2" t="s">
        <v>5</v>
      </c>
      <c r="G140" s="2" t="s">
        <v>1</v>
      </c>
      <c r="H140">
        <v>69</v>
      </c>
      <c r="I140">
        <v>-17.86</v>
      </c>
      <c r="J140">
        <v>474200</v>
      </c>
      <c r="K140">
        <v>0.36</v>
      </c>
      <c r="L140">
        <v>47</v>
      </c>
      <c r="M140">
        <v>550</v>
      </c>
      <c r="N140">
        <v>112</v>
      </c>
      <c r="O140">
        <v>-5.88</v>
      </c>
      <c r="P140">
        <v>182</v>
      </c>
      <c r="Q140">
        <v>3.41</v>
      </c>
      <c r="R140">
        <v>89</v>
      </c>
      <c r="S140">
        <v>-8.25</v>
      </c>
    </row>
    <row r="141" spans="1:19" x14ac:dyDescent="0.2">
      <c r="A141" s="1">
        <v>45689</v>
      </c>
      <c r="B141" s="1">
        <v>45777</v>
      </c>
      <c r="C141">
        <v>2025</v>
      </c>
      <c r="D141">
        <v>2</v>
      </c>
      <c r="E141">
        <v>1</v>
      </c>
      <c r="F141" s="2" t="s">
        <v>5</v>
      </c>
      <c r="G141" s="2" t="s">
        <v>1</v>
      </c>
      <c r="H141">
        <v>76</v>
      </c>
      <c r="I141">
        <v>-6.17</v>
      </c>
      <c r="J141">
        <v>470000</v>
      </c>
      <c r="K141">
        <v>-2.08</v>
      </c>
      <c r="L141">
        <v>37</v>
      </c>
      <c r="M141">
        <v>650</v>
      </c>
      <c r="N141">
        <v>121</v>
      </c>
      <c r="O141">
        <v>-0.82</v>
      </c>
      <c r="P141">
        <v>202</v>
      </c>
      <c r="Q141">
        <v>16.760000000000002</v>
      </c>
      <c r="R141">
        <v>90</v>
      </c>
      <c r="S141">
        <v>-9.09</v>
      </c>
    </row>
    <row r="142" spans="1:19" x14ac:dyDescent="0.2">
      <c r="A142" s="1">
        <v>45717</v>
      </c>
      <c r="B142" s="1">
        <v>45808</v>
      </c>
      <c r="C142">
        <v>2025</v>
      </c>
      <c r="D142">
        <v>3</v>
      </c>
      <c r="E142">
        <v>1</v>
      </c>
      <c r="F142" s="2" t="s">
        <v>5</v>
      </c>
      <c r="G142" s="2" t="s">
        <v>1</v>
      </c>
      <c r="H142">
        <v>87</v>
      </c>
      <c r="I142">
        <v>-1.1399999999999999</v>
      </c>
      <c r="J142">
        <v>477000</v>
      </c>
      <c r="K142">
        <v>-0.62</v>
      </c>
      <c r="L142">
        <v>35</v>
      </c>
      <c r="M142">
        <v>1200</v>
      </c>
      <c r="N142">
        <v>152</v>
      </c>
      <c r="O142">
        <v>22.58</v>
      </c>
      <c r="P142">
        <v>234</v>
      </c>
      <c r="Q142">
        <v>32.950000000000003</v>
      </c>
      <c r="R142">
        <v>109</v>
      </c>
      <c r="S142">
        <v>4.8099999999999996</v>
      </c>
    </row>
    <row r="143" spans="1:19" x14ac:dyDescent="0.2">
      <c r="A143" s="1">
        <v>45748</v>
      </c>
      <c r="B143" s="1">
        <v>45838</v>
      </c>
      <c r="C143">
        <v>2025</v>
      </c>
      <c r="D143">
        <v>4</v>
      </c>
      <c r="E143">
        <v>2</v>
      </c>
      <c r="F143" s="2" t="s">
        <v>5</v>
      </c>
      <c r="G143" s="2" t="s">
        <v>1</v>
      </c>
      <c r="H143">
        <v>87</v>
      </c>
      <c r="I143">
        <v>-5.43</v>
      </c>
      <c r="J143">
        <v>479000</v>
      </c>
      <c r="K143">
        <v>1.1599999999999999</v>
      </c>
      <c r="L143">
        <v>30</v>
      </c>
      <c r="M143">
        <v>600</v>
      </c>
      <c r="N143">
        <v>166</v>
      </c>
      <c r="O143">
        <v>40.68</v>
      </c>
      <c r="P143">
        <v>247</v>
      </c>
      <c r="Q143">
        <v>37.22</v>
      </c>
      <c r="R143">
        <v>103</v>
      </c>
      <c r="S143">
        <v>0</v>
      </c>
    </row>
    <row r="144" spans="1:19" x14ac:dyDescent="0.2">
      <c r="A144" s="1">
        <v>45778</v>
      </c>
      <c r="B144" s="1">
        <v>45869</v>
      </c>
      <c r="C144">
        <v>2025</v>
      </c>
      <c r="D144">
        <v>5</v>
      </c>
      <c r="E144">
        <v>2</v>
      </c>
      <c r="F144" s="2" t="s">
        <v>5</v>
      </c>
      <c r="G144" s="2" t="s">
        <v>1</v>
      </c>
      <c r="H144">
        <v>92</v>
      </c>
      <c r="I144">
        <v>-4.17</v>
      </c>
      <c r="J144">
        <v>479500</v>
      </c>
      <c r="K144">
        <v>3.12</v>
      </c>
      <c r="L144">
        <v>32</v>
      </c>
      <c r="M144">
        <v>350</v>
      </c>
      <c r="N144">
        <v>155</v>
      </c>
      <c r="O144">
        <v>29.17</v>
      </c>
      <c r="P144">
        <v>239</v>
      </c>
      <c r="Q144">
        <v>25.13</v>
      </c>
      <c r="R144">
        <v>115</v>
      </c>
      <c r="S144">
        <v>4.55</v>
      </c>
    </row>
    <row r="145" spans="1:19" x14ac:dyDescent="0.2">
      <c r="A145" s="1">
        <v>45809</v>
      </c>
      <c r="B145" s="1">
        <v>45900</v>
      </c>
      <c r="C145">
        <v>2025</v>
      </c>
      <c r="D145">
        <v>6</v>
      </c>
      <c r="E145">
        <v>2</v>
      </c>
      <c r="F145" s="2" t="s">
        <v>5</v>
      </c>
      <c r="G145" s="2" t="s">
        <v>1</v>
      </c>
      <c r="H145">
        <v>100</v>
      </c>
      <c r="I145">
        <v>3.09</v>
      </c>
      <c r="J145">
        <v>475000</v>
      </c>
      <c r="K145">
        <v>2.81</v>
      </c>
      <c r="L145">
        <v>34</v>
      </c>
      <c r="M145">
        <v>-100</v>
      </c>
      <c r="N145">
        <v>133</v>
      </c>
      <c r="O145">
        <v>13.68</v>
      </c>
      <c r="P145">
        <v>234</v>
      </c>
      <c r="Q145">
        <v>25.81</v>
      </c>
      <c r="R145">
        <v>110</v>
      </c>
      <c r="S145">
        <v>2.8</v>
      </c>
    </row>
    <row r="146" spans="1:19" x14ac:dyDescent="0.2">
      <c r="A146" s="1">
        <v>45839</v>
      </c>
      <c r="B146" s="1">
        <v>45930</v>
      </c>
      <c r="C146">
        <v>2025</v>
      </c>
      <c r="D146">
        <v>7</v>
      </c>
      <c r="E146">
        <v>3</v>
      </c>
      <c r="F146" s="2" t="s">
        <v>5</v>
      </c>
      <c r="G146" s="2" t="s">
        <v>1</v>
      </c>
      <c r="H146">
        <v>97</v>
      </c>
      <c r="I146">
        <v>3.19</v>
      </c>
      <c r="J146">
        <v>479000</v>
      </c>
      <c r="K146">
        <v>2.13</v>
      </c>
      <c r="L146">
        <v>41</v>
      </c>
      <c r="M146">
        <v>1000</v>
      </c>
      <c r="N146">
        <v>117</v>
      </c>
      <c r="O146">
        <v>-14.6</v>
      </c>
      <c r="P146">
        <v>235</v>
      </c>
      <c r="Q146">
        <v>13.53</v>
      </c>
      <c r="R146">
        <v>120</v>
      </c>
      <c r="S146">
        <v>2.56</v>
      </c>
    </row>
    <row r="147" spans="1:19" x14ac:dyDescent="0.2">
      <c r="A147" s="1">
        <v>45870</v>
      </c>
      <c r="B147" s="1">
        <v>45961</v>
      </c>
      <c r="C147">
        <v>2025</v>
      </c>
      <c r="D147">
        <v>8</v>
      </c>
      <c r="E147">
        <v>3</v>
      </c>
      <c r="F147" s="2" t="s">
        <v>5</v>
      </c>
      <c r="G147" s="2" t="s">
        <v>1</v>
      </c>
      <c r="H147">
        <v>96</v>
      </c>
      <c r="I147">
        <v>-11.93</v>
      </c>
      <c r="J147">
        <v>482500</v>
      </c>
      <c r="K147">
        <v>2.99</v>
      </c>
      <c r="L147">
        <v>41</v>
      </c>
      <c r="M147">
        <v>1000</v>
      </c>
      <c r="N147">
        <v>124</v>
      </c>
      <c r="O147">
        <v>-8.15</v>
      </c>
      <c r="P147">
        <v>231</v>
      </c>
      <c r="Q147">
        <v>10</v>
      </c>
      <c r="R147">
        <v>112</v>
      </c>
      <c r="S147">
        <v>-8.94</v>
      </c>
    </row>
    <row r="148" spans="1:19" x14ac:dyDescent="0.2">
      <c r="A148" s="1">
        <v>45901</v>
      </c>
      <c r="B148" s="1">
        <v>45991</v>
      </c>
      <c r="C148">
        <v>2025</v>
      </c>
      <c r="D148">
        <v>9</v>
      </c>
      <c r="E148">
        <v>3</v>
      </c>
      <c r="F148" s="2" t="s">
        <v>5</v>
      </c>
      <c r="G148" s="2" t="s">
        <v>1</v>
      </c>
      <c r="H148">
        <v>86</v>
      </c>
      <c r="I148">
        <v>-18.100000000000001</v>
      </c>
      <c r="J148">
        <v>479745</v>
      </c>
      <c r="K148">
        <v>2.1800000000000002</v>
      </c>
      <c r="L148">
        <v>44</v>
      </c>
      <c r="M148">
        <v>1300</v>
      </c>
      <c r="N148">
        <v>115</v>
      </c>
      <c r="O148">
        <v>-6.5</v>
      </c>
      <c r="P148">
        <v>225</v>
      </c>
      <c r="Q148">
        <v>15.38</v>
      </c>
      <c r="R148">
        <v>103</v>
      </c>
      <c r="S148">
        <v>-5.5</v>
      </c>
    </row>
    <row r="149" spans="1:19" x14ac:dyDescent="0.2">
      <c r="A149" s="1">
        <v>45931</v>
      </c>
      <c r="B149" s="1">
        <v>46022</v>
      </c>
      <c r="C149">
        <v>2025</v>
      </c>
      <c r="D149">
        <v>10</v>
      </c>
      <c r="E149">
        <v>4</v>
      </c>
      <c r="F149" s="2" t="s">
        <v>5</v>
      </c>
      <c r="G149" s="2" t="s">
        <v>1</v>
      </c>
      <c r="H149">
        <v>81</v>
      </c>
      <c r="I149">
        <v>-21.36</v>
      </c>
      <c r="J149">
        <v>482000</v>
      </c>
      <c r="K149">
        <v>0.73</v>
      </c>
      <c r="L149">
        <v>52</v>
      </c>
      <c r="M149">
        <v>2350</v>
      </c>
      <c r="N149">
        <v>103</v>
      </c>
      <c r="O149">
        <v>14.44</v>
      </c>
      <c r="P149">
        <v>199</v>
      </c>
      <c r="Q149">
        <v>11.17</v>
      </c>
      <c r="R149">
        <v>89</v>
      </c>
      <c r="S149">
        <v>-1.1100000000000001</v>
      </c>
    </row>
    <row r="150" spans="1:19" x14ac:dyDescent="0.2">
      <c r="A150" s="1">
        <v>45962</v>
      </c>
      <c r="B150" s="1">
        <v>46053</v>
      </c>
      <c r="C150">
        <v>2025</v>
      </c>
      <c r="D150">
        <v>11</v>
      </c>
      <c r="E150">
        <v>4</v>
      </c>
      <c r="F150" s="2" t="s">
        <v>5</v>
      </c>
      <c r="G150" s="2" t="s">
        <v>1</v>
      </c>
      <c r="H150">
        <v>74</v>
      </c>
      <c r="I150">
        <v>-8.64</v>
      </c>
      <c r="J150">
        <v>460870</v>
      </c>
      <c r="K150">
        <v>-5.83</v>
      </c>
      <c r="L150">
        <v>45</v>
      </c>
      <c r="M150">
        <v>1000</v>
      </c>
      <c r="N150">
        <v>88</v>
      </c>
      <c r="O150">
        <v>2.33</v>
      </c>
      <c r="P150">
        <v>192</v>
      </c>
      <c r="Q150">
        <v>17.07</v>
      </c>
      <c r="R150">
        <v>84</v>
      </c>
      <c r="S150">
        <v>9.09</v>
      </c>
    </row>
    <row r="151" spans="1:19" x14ac:dyDescent="0.2">
      <c r="A151" s="1">
        <v>45992</v>
      </c>
      <c r="B151" s="1">
        <v>46081</v>
      </c>
      <c r="C151">
        <v>2025</v>
      </c>
      <c r="D151">
        <v>12</v>
      </c>
      <c r="E151">
        <v>4</v>
      </c>
      <c r="F151" s="2" t="s">
        <v>5</v>
      </c>
      <c r="G151" s="2" t="s">
        <v>1</v>
      </c>
      <c r="H151">
        <v>65</v>
      </c>
      <c r="I151">
        <v>-2.99</v>
      </c>
      <c r="J151">
        <v>465000</v>
      </c>
      <c r="K151">
        <v>-5.23</v>
      </c>
      <c r="L151">
        <v>43</v>
      </c>
      <c r="M151">
        <v>300</v>
      </c>
      <c r="N151">
        <v>88</v>
      </c>
      <c r="O151">
        <v>-4.3499999999999996</v>
      </c>
      <c r="P151">
        <v>183</v>
      </c>
      <c r="Q151">
        <v>11.59</v>
      </c>
      <c r="R151">
        <v>79</v>
      </c>
      <c r="S151">
        <v>6.76</v>
      </c>
    </row>
    <row r="152" spans="1:19" x14ac:dyDescent="0.2">
      <c r="A152" s="1">
        <v>46023</v>
      </c>
      <c r="B152" s="1">
        <v>46112</v>
      </c>
      <c r="C152">
        <v>2026</v>
      </c>
      <c r="D152">
        <v>1</v>
      </c>
      <c r="E152">
        <v>1</v>
      </c>
      <c r="F152" s="2" t="s">
        <v>5</v>
      </c>
      <c r="G152" s="2" t="s">
        <v>1</v>
      </c>
      <c r="H152">
        <v>80</v>
      </c>
      <c r="I152">
        <v>15.94</v>
      </c>
      <c r="J152">
        <v>438362</v>
      </c>
      <c r="K152">
        <v>-7.56</v>
      </c>
      <c r="L152">
        <v>35</v>
      </c>
      <c r="M152">
        <v>-1200</v>
      </c>
      <c r="N152">
        <v>108</v>
      </c>
      <c r="O152">
        <v>-3.57</v>
      </c>
      <c r="P152">
        <v>197</v>
      </c>
      <c r="Q152">
        <v>8.24</v>
      </c>
      <c r="R152">
        <v>106</v>
      </c>
      <c r="S152">
        <v>19.100000000000001</v>
      </c>
    </row>
    <row r="153" spans="1:19" x14ac:dyDescent="0.2">
      <c r="A153" s="1">
        <v>46054</v>
      </c>
      <c r="B153" s="1">
        <v>46142</v>
      </c>
      <c r="C153">
        <v>2026</v>
      </c>
      <c r="D153">
        <v>2</v>
      </c>
      <c r="E153">
        <v>1</v>
      </c>
      <c r="F153" s="2" t="s">
        <v>5</v>
      </c>
      <c r="G153" s="2" t="s">
        <v>1</v>
      </c>
      <c r="H153">
        <v>88</v>
      </c>
      <c r="I153">
        <v>15.82</v>
      </c>
      <c r="J153">
        <v>442778</v>
      </c>
      <c r="K153">
        <v>-5.79</v>
      </c>
      <c r="L153">
        <v>40</v>
      </c>
      <c r="M153">
        <v>356.05</v>
      </c>
      <c r="N153">
        <v>118</v>
      </c>
      <c r="O153">
        <v>-2.5299999999999998</v>
      </c>
      <c r="P153">
        <v>208</v>
      </c>
      <c r="Q153">
        <v>3.07</v>
      </c>
      <c r="R153">
        <v>111</v>
      </c>
      <c r="S153">
        <v>23.28</v>
      </c>
    </row>
    <row r="154" spans="1:19" x14ac:dyDescent="0.2">
      <c r="A154" s="1">
        <v>44927</v>
      </c>
      <c r="B154" s="1">
        <v>45016</v>
      </c>
      <c r="C154">
        <v>2023</v>
      </c>
      <c r="D154">
        <v>1</v>
      </c>
      <c r="E154">
        <v>1</v>
      </c>
      <c r="F154" s="2" t="s">
        <v>5</v>
      </c>
      <c r="G154" s="2" t="s">
        <v>0</v>
      </c>
      <c r="H154">
        <v>108</v>
      </c>
      <c r="I154">
        <v>-52.42</v>
      </c>
      <c r="J154">
        <v>385000</v>
      </c>
      <c r="K154">
        <v>0.52</v>
      </c>
      <c r="L154">
        <v>42</v>
      </c>
      <c r="M154">
        <v>2650</v>
      </c>
      <c r="N154">
        <v>160</v>
      </c>
      <c r="O154">
        <v>-36</v>
      </c>
      <c r="P154">
        <v>278</v>
      </c>
      <c r="Q154">
        <v>-12.58</v>
      </c>
      <c r="R154">
        <v>157</v>
      </c>
      <c r="S154">
        <v>-32.03</v>
      </c>
    </row>
    <row r="155" spans="1:19" x14ac:dyDescent="0.2">
      <c r="A155" s="1">
        <v>44958</v>
      </c>
      <c r="B155" s="1">
        <v>45046</v>
      </c>
      <c r="C155">
        <v>2023</v>
      </c>
      <c r="D155">
        <v>2</v>
      </c>
      <c r="E155">
        <v>1</v>
      </c>
      <c r="F155" s="2" t="s">
        <v>5</v>
      </c>
      <c r="G155" s="2" t="s">
        <v>0</v>
      </c>
      <c r="H155">
        <v>135</v>
      </c>
      <c r="I155">
        <v>-42.31</v>
      </c>
      <c r="J155">
        <v>379495</v>
      </c>
      <c r="K155">
        <v>-0.92</v>
      </c>
      <c r="L155">
        <v>40</v>
      </c>
      <c r="M155">
        <v>2700</v>
      </c>
      <c r="N155">
        <v>193</v>
      </c>
      <c r="O155">
        <v>-36.72</v>
      </c>
      <c r="P155">
        <v>304</v>
      </c>
      <c r="Q155">
        <v>-20</v>
      </c>
      <c r="R155">
        <v>185</v>
      </c>
      <c r="S155">
        <v>-29.92</v>
      </c>
    </row>
    <row r="156" spans="1:19" x14ac:dyDescent="0.2">
      <c r="A156" s="1">
        <v>44986</v>
      </c>
      <c r="B156" s="1">
        <v>45077</v>
      </c>
      <c r="C156">
        <v>2023</v>
      </c>
      <c r="D156">
        <v>3</v>
      </c>
      <c r="E156">
        <v>1</v>
      </c>
      <c r="F156" s="2" t="s">
        <v>5</v>
      </c>
      <c r="G156" s="2" t="s">
        <v>0</v>
      </c>
      <c r="H156">
        <v>160</v>
      </c>
      <c r="I156">
        <v>-34.43</v>
      </c>
      <c r="J156">
        <v>387000</v>
      </c>
      <c r="K156">
        <v>0.52</v>
      </c>
      <c r="L156">
        <v>37</v>
      </c>
      <c r="M156">
        <v>2400</v>
      </c>
      <c r="N156">
        <v>225</v>
      </c>
      <c r="O156">
        <v>-32.630000000000003</v>
      </c>
      <c r="P156">
        <v>339</v>
      </c>
      <c r="Q156">
        <v>-20.98</v>
      </c>
      <c r="R156">
        <v>215</v>
      </c>
      <c r="S156">
        <v>-25.61</v>
      </c>
    </row>
    <row r="157" spans="1:19" x14ac:dyDescent="0.2">
      <c r="A157" s="1">
        <v>45017</v>
      </c>
      <c r="B157" s="1">
        <v>45107</v>
      </c>
      <c r="C157">
        <v>2023</v>
      </c>
      <c r="D157">
        <v>4</v>
      </c>
      <c r="E157">
        <v>2</v>
      </c>
      <c r="F157" s="2" t="s">
        <v>5</v>
      </c>
      <c r="G157" s="2" t="s">
        <v>0</v>
      </c>
      <c r="H157">
        <v>182</v>
      </c>
      <c r="I157">
        <v>-24.17</v>
      </c>
      <c r="J157">
        <v>383495</v>
      </c>
      <c r="K157">
        <v>-0.39</v>
      </c>
      <c r="L157">
        <v>33</v>
      </c>
      <c r="M157">
        <v>1800</v>
      </c>
      <c r="N157">
        <v>244</v>
      </c>
      <c r="O157">
        <v>-32.409999999999997</v>
      </c>
      <c r="P157">
        <v>360</v>
      </c>
      <c r="Q157">
        <v>-20</v>
      </c>
      <c r="R157">
        <v>231</v>
      </c>
      <c r="S157">
        <v>-14.76</v>
      </c>
    </row>
    <row r="158" spans="1:19" x14ac:dyDescent="0.2">
      <c r="A158" s="1">
        <v>45047</v>
      </c>
      <c r="B158" s="1">
        <v>45138</v>
      </c>
      <c r="C158">
        <v>2023</v>
      </c>
      <c r="D158">
        <v>5</v>
      </c>
      <c r="E158">
        <v>2</v>
      </c>
      <c r="F158" s="2" t="s">
        <v>5</v>
      </c>
      <c r="G158" s="2" t="s">
        <v>0</v>
      </c>
      <c r="H158">
        <v>206</v>
      </c>
      <c r="I158">
        <v>-10.82</v>
      </c>
      <c r="J158">
        <v>390323</v>
      </c>
      <c r="K158">
        <v>-2.84</v>
      </c>
      <c r="L158">
        <v>29</v>
      </c>
      <c r="M158">
        <v>1050</v>
      </c>
      <c r="N158">
        <v>258</v>
      </c>
      <c r="O158">
        <v>-23.21</v>
      </c>
      <c r="P158">
        <v>386</v>
      </c>
      <c r="Q158">
        <v>-16.09</v>
      </c>
      <c r="R158">
        <v>243</v>
      </c>
      <c r="S158">
        <v>-3.19</v>
      </c>
    </row>
    <row r="159" spans="1:19" x14ac:dyDescent="0.2">
      <c r="A159" s="1">
        <v>45078</v>
      </c>
      <c r="B159" s="1">
        <v>45169</v>
      </c>
      <c r="C159">
        <v>2023</v>
      </c>
      <c r="D159">
        <v>6</v>
      </c>
      <c r="E159">
        <v>2</v>
      </c>
      <c r="F159" s="2" t="s">
        <v>5</v>
      </c>
      <c r="G159" s="2" t="s">
        <v>0</v>
      </c>
      <c r="H159">
        <v>219</v>
      </c>
      <c r="I159">
        <v>-0.9</v>
      </c>
      <c r="J159">
        <v>392500</v>
      </c>
      <c r="K159">
        <v>-1.88</v>
      </c>
      <c r="L159">
        <v>24</v>
      </c>
      <c r="M159">
        <v>100</v>
      </c>
      <c r="N159">
        <v>264</v>
      </c>
      <c r="O159">
        <v>-7.69</v>
      </c>
      <c r="P159">
        <v>388</v>
      </c>
      <c r="Q159">
        <v>-11.42</v>
      </c>
      <c r="R159">
        <v>233</v>
      </c>
      <c r="S159">
        <v>0.43</v>
      </c>
    </row>
    <row r="160" spans="1:19" x14ac:dyDescent="0.2">
      <c r="A160" s="1">
        <v>45108</v>
      </c>
      <c r="B160" s="1">
        <v>45199</v>
      </c>
      <c r="C160">
        <v>2023</v>
      </c>
      <c r="D160">
        <v>7</v>
      </c>
      <c r="E160">
        <v>3</v>
      </c>
      <c r="F160" s="2" t="s">
        <v>5</v>
      </c>
      <c r="G160" s="2" t="s">
        <v>0</v>
      </c>
      <c r="H160">
        <v>215</v>
      </c>
      <c r="I160">
        <v>4.88</v>
      </c>
      <c r="J160">
        <v>400000</v>
      </c>
      <c r="K160">
        <v>0</v>
      </c>
      <c r="L160">
        <v>22</v>
      </c>
      <c r="M160">
        <v>-600</v>
      </c>
      <c r="N160">
        <v>265</v>
      </c>
      <c r="O160">
        <v>8.16</v>
      </c>
      <c r="P160">
        <v>393</v>
      </c>
      <c r="Q160">
        <v>-9.0299999999999994</v>
      </c>
      <c r="R160">
        <v>225</v>
      </c>
      <c r="S160">
        <v>-0.88</v>
      </c>
    </row>
    <row r="161" spans="1:19" x14ac:dyDescent="0.2">
      <c r="A161" s="1">
        <v>45139</v>
      </c>
      <c r="B161" s="1">
        <v>45230</v>
      </c>
      <c r="C161">
        <v>2023</v>
      </c>
      <c r="D161">
        <v>8</v>
      </c>
      <c r="E161">
        <v>3</v>
      </c>
      <c r="F161" s="2" t="s">
        <v>5</v>
      </c>
      <c r="G161" s="2" t="s">
        <v>0</v>
      </c>
      <c r="H161">
        <v>218</v>
      </c>
      <c r="I161">
        <v>10.1</v>
      </c>
      <c r="J161">
        <v>400000</v>
      </c>
      <c r="K161">
        <v>0.88</v>
      </c>
      <c r="L161">
        <v>22</v>
      </c>
      <c r="M161">
        <v>-900</v>
      </c>
      <c r="N161">
        <v>238</v>
      </c>
      <c r="O161">
        <v>14.42</v>
      </c>
      <c r="P161">
        <v>375</v>
      </c>
      <c r="Q161">
        <v>-6.02</v>
      </c>
      <c r="R161">
        <v>221</v>
      </c>
      <c r="S161">
        <v>8.8699999999999992</v>
      </c>
    </row>
    <row r="162" spans="1:19" x14ac:dyDescent="0.2">
      <c r="A162" s="1">
        <v>45170</v>
      </c>
      <c r="B162" s="1">
        <v>45260</v>
      </c>
      <c r="C162">
        <v>2023</v>
      </c>
      <c r="D162">
        <v>9</v>
      </c>
      <c r="E162">
        <v>3</v>
      </c>
      <c r="F162" s="2" t="s">
        <v>5</v>
      </c>
      <c r="G162" s="2" t="s">
        <v>0</v>
      </c>
      <c r="H162">
        <v>195</v>
      </c>
      <c r="I162">
        <v>1.56</v>
      </c>
      <c r="J162">
        <v>403990</v>
      </c>
      <c r="K162">
        <v>2.41</v>
      </c>
      <c r="L162">
        <v>27</v>
      </c>
      <c r="M162">
        <v>-750</v>
      </c>
      <c r="N162">
        <v>207</v>
      </c>
      <c r="O162">
        <v>16.29</v>
      </c>
      <c r="P162">
        <v>346</v>
      </c>
      <c r="Q162">
        <v>-1.1399999999999999</v>
      </c>
      <c r="R162">
        <v>199</v>
      </c>
      <c r="S162">
        <v>15.03</v>
      </c>
    </row>
    <row r="163" spans="1:19" x14ac:dyDescent="0.2">
      <c r="A163" s="1">
        <v>45200</v>
      </c>
      <c r="B163" s="1">
        <v>45291</v>
      </c>
      <c r="C163">
        <v>2023</v>
      </c>
      <c r="D163">
        <v>10</v>
      </c>
      <c r="E163">
        <v>4</v>
      </c>
      <c r="F163" s="2" t="s">
        <v>5</v>
      </c>
      <c r="G163" s="2" t="s">
        <v>0</v>
      </c>
      <c r="H163">
        <v>173</v>
      </c>
      <c r="I163">
        <v>4.8499999999999996</v>
      </c>
      <c r="J163">
        <v>395990</v>
      </c>
      <c r="K163">
        <v>9.6199999999999992</v>
      </c>
      <c r="L163">
        <v>33</v>
      </c>
      <c r="M163">
        <v>-600</v>
      </c>
      <c r="N163">
        <v>161</v>
      </c>
      <c r="O163">
        <v>16.670000000000002</v>
      </c>
      <c r="P163">
        <v>310</v>
      </c>
      <c r="Q163">
        <v>1.31</v>
      </c>
      <c r="R163">
        <v>176</v>
      </c>
      <c r="S163">
        <v>30.37</v>
      </c>
    </row>
    <row r="164" spans="1:19" x14ac:dyDescent="0.2">
      <c r="A164" s="1">
        <v>45231</v>
      </c>
      <c r="B164" s="1">
        <v>45322</v>
      </c>
      <c r="C164">
        <v>2023</v>
      </c>
      <c r="D164">
        <v>11</v>
      </c>
      <c r="E164">
        <v>4</v>
      </c>
      <c r="F164" s="2" t="s">
        <v>5</v>
      </c>
      <c r="G164" s="2" t="s">
        <v>0</v>
      </c>
      <c r="H164">
        <v>145</v>
      </c>
      <c r="I164">
        <v>18.850000000000001</v>
      </c>
      <c r="J164">
        <v>395000</v>
      </c>
      <c r="K164">
        <v>10.029999999999999</v>
      </c>
      <c r="L164">
        <v>43</v>
      </c>
      <c r="M164">
        <v>-250</v>
      </c>
      <c r="N164">
        <v>175</v>
      </c>
      <c r="O164">
        <v>44.63</v>
      </c>
      <c r="P164">
        <v>311</v>
      </c>
      <c r="Q164">
        <v>13.09</v>
      </c>
      <c r="R164">
        <v>172</v>
      </c>
      <c r="S164">
        <v>44.54</v>
      </c>
    </row>
    <row r="165" spans="1:19" x14ac:dyDescent="0.2">
      <c r="A165" s="1">
        <v>45261</v>
      </c>
      <c r="B165" s="1">
        <v>45351</v>
      </c>
      <c r="C165">
        <v>2023</v>
      </c>
      <c r="D165">
        <v>12</v>
      </c>
      <c r="E165">
        <v>4</v>
      </c>
      <c r="F165" s="2" t="s">
        <v>5</v>
      </c>
      <c r="G165" s="2" t="s">
        <v>0</v>
      </c>
      <c r="H165">
        <v>161</v>
      </c>
      <c r="I165">
        <v>59.41</v>
      </c>
      <c r="J165">
        <v>395000</v>
      </c>
      <c r="K165">
        <v>12.86</v>
      </c>
      <c r="L165">
        <v>43</v>
      </c>
      <c r="M165">
        <v>-400</v>
      </c>
      <c r="N165">
        <v>181</v>
      </c>
      <c r="O165">
        <v>42.52</v>
      </c>
      <c r="P165">
        <v>321</v>
      </c>
      <c r="Q165">
        <v>26.38</v>
      </c>
      <c r="R165">
        <v>199</v>
      </c>
      <c r="S165">
        <v>61.79</v>
      </c>
    </row>
    <row r="166" spans="1:19" x14ac:dyDescent="0.2">
      <c r="A166" s="1">
        <v>45292</v>
      </c>
      <c r="B166" s="1">
        <v>45382</v>
      </c>
      <c r="C166">
        <v>2024</v>
      </c>
      <c r="D166">
        <v>1</v>
      </c>
      <c r="E166">
        <v>1</v>
      </c>
      <c r="F166" s="2" t="s">
        <v>5</v>
      </c>
      <c r="G166" s="2" t="s">
        <v>0</v>
      </c>
      <c r="H166">
        <v>186</v>
      </c>
      <c r="I166">
        <v>72.22</v>
      </c>
      <c r="J166">
        <v>398750</v>
      </c>
      <c r="K166">
        <v>3.57</v>
      </c>
      <c r="L166">
        <v>34</v>
      </c>
      <c r="M166">
        <v>-800</v>
      </c>
      <c r="N166">
        <v>215</v>
      </c>
      <c r="O166">
        <v>34.380000000000003</v>
      </c>
      <c r="P166">
        <v>339</v>
      </c>
      <c r="Q166">
        <v>21.94</v>
      </c>
      <c r="R166">
        <v>215</v>
      </c>
      <c r="S166">
        <v>36.94</v>
      </c>
    </row>
    <row r="167" spans="1:19" x14ac:dyDescent="0.2">
      <c r="A167" s="1">
        <v>45323</v>
      </c>
      <c r="B167" s="1">
        <v>45412</v>
      </c>
      <c r="C167">
        <v>2024</v>
      </c>
      <c r="D167">
        <v>2</v>
      </c>
      <c r="E167">
        <v>1</v>
      </c>
      <c r="F167" s="2" t="s">
        <v>5</v>
      </c>
      <c r="G167" s="2" t="s">
        <v>0</v>
      </c>
      <c r="H167">
        <v>204</v>
      </c>
      <c r="I167">
        <v>51.11</v>
      </c>
      <c r="J167">
        <v>395000</v>
      </c>
      <c r="K167">
        <v>4.09</v>
      </c>
      <c r="L167">
        <v>28</v>
      </c>
      <c r="M167">
        <v>-1200</v>
      </c>
      <c r="N167">
        <v>246</v>
      </c>
      <c r="O167">
        <v>27.46</v>
      </c>
      <c r="P167">
        <v>379</v>
      </c>
      <c r="Q167">
        <v>24.67</v>
      </c>
      <c r="R167">
        <v>237</v>
      </c>
      <c r="S167">
        <v>28.11</v>
      </c>
    </row>
    <row r="168" spans="1:19" x14ac:dyDescent="0.2">
      <c r="A168" s="1">
        <v>45352</v>
      </c>
      <c r="B168" s="1">
        <v>45443</v>
      </c>
      <c r="C168">
        <v>2024</v>
      </c>
      <c r="D168">
        <v>3</v>
      </c>
      <c r="E168">
        <v>1</v>
      </c>
      <c r="F168" s="2" t="s">
        <v>5</v>
      </c>
      <c r="G168" s="2" t="s">
        <v>0</v>
      </c>
      <c r="H168">
        <v>205</v>
      </c>
      <c r="I168">
        <v>28.13</v>
      </c>
      <c r="J168">
        <v>392500</v>
      </c>
      <c r="K168">
        <v>1.42</v>
      </c>
      <c r="L168">
        <v>25</v>
      </c>
      <c r="M168">
        <v>-1200</v>
      </c>
      <c r="N168">
        <v>274</v>
      </c>
      <c r="O168">
        <v>21.78</v>
      </c>
      <c r="P168">
        <v>385</v>
      </c>
      <c r="Q168">
        <v>13.57</v>
      </c>
      <c r="R168">
        <v>234</v>
      </c>
      <c r="S168">
        <v>8.84</v>
      </c>
    </row>
    <row r="169" spans="1:19" x14ac:dyDescent="0.2">
      <c r="A169" s="1">
        <v>45383</v>
      </c>
      <c r="B169" s="1">
        <v>45473</v>
      </c>
      <c r="C169">
        <v>2024</v>
      </c>
      <c r="D169">
        <v>4</v>
      </c>
      <c r="E169">
        <v>2</v>
      </c>
      <c r="F169" s="2" t="s">
        <v>5</v>
      </c>
      <c r="G169" s="2" t="s">
        <v>0</v>
      </c>
      <c r="H169">
        <v>211</v>
      </c>
      <c r="I169">
        <v>15.93</v>
      </c>
      <c r="J169">
        <v>402745</v>
      </c>
      <c r="K169">
        <v>5.0199999999999996</v>
      </c>
      <c r="L169">
        <v>26</v>
      </c>
      <c r="M169">
        <v>-750</v>
      </c>
      <c r="N169">
        <v>301</v>
      </c>
      <c r="O169">
        <v>23.36</v>
      </c>
      <c r="P169">
        <v>418</v>
      </c>
      <c r="Q169">
        <v>16.11</v>
      </c>
      <c r="R169">
        <v>239</v>
      </c>
      <c r="S169">
        <v>3.46</v>
      </c>
    </row>
    <row r="170" spans="1:19" x14ac:dyDescent="0.2">
      <c r="A170" s="1">
        <v>45413</v>
      </c>
      <c r="B170" s="1">
        <v>45504</v>
      </c>
      <c r="C170">
        <v>2024</v>
      </c>
      <c r="D170">
        <v>5</v>
      </c>
      <c r="E170">
        <v>2</v>
      </c>
      <c r="F170" s="2" t="s">
        <v>5</v>
      </c>
      <c r="G170" s="2" t="s">
        <v>0</v>
      </c>
      <c r="H170">
        <v>221</v>
      </c>
      <c r="I170">
        <v>7.28</v>
      </c>
      <c r="J170">
        <v>407250</v>
      </c>
      <c r="K170">
        <v>4.34</v>
      </c>
      <c r="L170">
        <v>21</v>
      </c>
      <c r="M170">
        <v>-800</v>
      </c>
      <c r="N170">
        <v>273</v>
      </c>
      <c r="O170">
        <v>5.81</v>
      </c>
      <c r="P170">
        <v>416</v>
      </c>
      <c r="Q170">
        <v>7.77</v>
      </c>
      <c r="R170">
        <v>231</v>
      </c>
      <c r="S170">
        <v>-4.9400000000000004</v>
      </c>
    </row>
    <row r="171" spans="1:19" x14ac:dyDescent="0.2">
      <c r="A171" s="1">
        <v>45444</v>
      </c>
      <c r="B171" s="1">
        <v>45535</v>
      </c>
      <c r="C171">
        <v>2024</v>
      </c>
      <c r="D171">
        <v>6</v>
      </c>
      <c r="E171">
        <v>2</v>
      </c>
      <c r="F171" s="2" t="s">
        <v>5</v>
      </c>
      <c r="G171" s="2" t="s">
        <v>0</v>
      </c>
      <c r="H171">
        <v>222</v>
      </c>
      <c r="I171">
        <v>1.37</v>
      </c>
      <c r="J171">
        <v>410685</v>
      </c>
      <c r="K171">
        <v>4.63</v>
      </c>
      <c r="L171">
        <v>24</v>
      </c>
      <c r="M171">
        <v>0</v>
      </c>
      <c r="N171">
        <v>258</v>
      </c>
      <c r="O171">
        <v>-2.27</v>
      </c>
      <c r="P171">
        <v>394</v>
      </c>
      <c r="Q171">
        <v>1.55</v>
      </c>
      <c r="R171">
        <v>209</v>
      </c>
      <c r="S171">
        <v>-10.3</v>
      </c>
    </row>
    <row r="172" spans="1:19" x14ac:dyDescent="0.2">
      <c r="A172" s="1">
        <v>45474</v>
      </c>
      <c r="B172" s="1">
        <v>45565</v>
      </c>
      <c r="C172">
        <v>2024</v>
      </c>
      <c r="D172">
        <v>7</v>
      </c>
      <c r="E172">
        <v>3</v>
      </c>
      <c r="F172" s="2" t="s">
        <v>5</v>
      </c>
      <c r="G172" s="2" t="s">
        <v>0</v>
      </c>
      <c r="H172">
        <v>188</v>
      </c>
      <c r="I172">
        <v>-12.56</v>
      </c>
      <c r="J172">
        <v>410000</v>
      </c>
      <c r="K172">
        <v>2.5</v>
      </c>
      <c r="L172">
        <v>29</v>
      </c>
      <c r="M172">
        <v>700</v>
      </c>
      <c r="N172">
        <v>238</v>
      </c>
      <c r="O172">
        <v>-10.19</v>
      </c>
      <c r="P172">
        <v>406</v>
      </c>
      <c r="Q172">
        <v>3.31</v>
      </c>
      <c r="R172">
        <v>208</v>
      </c>
      <c r="S172">
        <v>-7.56</v>
      </c>
    </row>
    <row r="173" spans="1:19" x14ac:dyDescent="0.2">
      <c r="A173" s="1">
        <v>45505</v>
      </c>
      <c r="B173" s="1">
        <v>45596</v>
      </c>
      <c r="C173">
        <v>2024</v>
      </c>
      <c r="D173">
        <v>8</v>
      </c>
      <c r="E173">
        <v>3</v>
      </c>
      <c r="F173" s="2" t="s">
        <v>5</v>
      </c>
      <c r="G173" s="2" t="s">
        <v>0</v>
      </c>
      <c r="H173">
        <v>173</v>
      </c>
      <c r="I173">
        <v>-20.64</v>
      </c>
      <c r="J173">
        <v>401000</v>
      </c>
      <c r="K173">
        <v>0.25</v>
      </c>
      <c r="L173">
        <v>40</v>
      </c>
      <c r="M173">
        <v>1750</v>
      </c>
      <c r="N173">
        <v>254</v>
      </c>
      <c r="O173">
        <v>6.72</v>
      </c>
      <c r="P173">
        <v>417</v>
      </c>
      <c r="Q173">
        <v>11.2</v>
      </c>
      <c r="R173">
        <v>198</v>
      </c>
      <c r="S173">
        <v>-10.41</v>
      </c>
    </row>
    <row r="174" spans="1:19" x14ac:dyDescent="0.2">
      <c r="A174" s="1">
        <v>45536</v>
      </c>
      <c r="B174" s="1">
        <v>45626</v>
      </c>
      <c r="C174">
        <v>2024</v>
      </c>
      <c r="D174">
        <v>9</v>
      </c>
      <c r="E174">
        <v>3</v>
      </c>
      <c r="F174" s="2" t="s">
        <v>5</v>
      </c>
      <c r="G174" s="2" t="s">
        <v>0</v>
      </c>
      <c r="H174">
        <v>166</v>
      </c>
      <c r="I174">
        <v>-14.87</v>
      </c>
      <c r="J174">
        <v>404750</v>
      </c>
      <c r="K174">
        <v>0.19</v>
      </c>
      <c r="L174">
        <v>47</v>
      </c>
      <c r="M174">
        <v>2000</v>
      </c>
      <c r="N174">
        <v>234</v>
      </c>
      <c r="O174">
        <v>13.04</v>
      </c>
      <c r="P174">
        <v>412</v>
      </c>
      <c r="Q174">
        <v>19.079999999999998</v>
      </c>
      <c r="R174">
        <v>197</v>
      </c>
      <c r="S174">
        <v>-1.01</v>
      </c>
    </row>
    <row r="175" spans="1:19" x14ac:dyDescent="0.2">
      <c r="A175" s="1">
        <v>45566</v>
      </c>
      <c r="B175" s="1">
        <v>45657</v>
      </c>
      <c r="C175">
        <v>2024</v>
      </c>
      <c r="D175">
        <v>10</v>
      </c>
      <c r="E175">
        <v>4</v>
      </c>
      <c r="F175" s="2" t="s">
        <v>5</v>
      </c>
      <c r="G175" s="2" t="s">
        <v>0</v>
      </c>
      <c r="H175">
        <v>184</v>
      </c>
      <c r="I175">
        <v>6.36</v>
      </c>
      <c r="J175">
        <v>410000</v>
      </c>
      <c r="K175">
        <v>3.54</v>
      </c>
      <c r="L175">
        <v>47</v>
      </c>
      <c r="M175">
        <v>1350</v>
      </c>
      <c r="N175">
        <v>190</v>
      </c>
      <c r="O175">
        <v>18.010000000000002</v>
      </c>
      <c r="P175">
        <v>389</v>
      </c>
      <c r="Q175">
        <v>25.48</v>
      </c>
      <c r="R175">
        <v>190</v>
      </c>
      <c r="S175">
        <v>7.95</v>
      </c>
    </row>
    <row r="176" spans="1:19" x14ac:dyDescent="0.2">
      <c r="A176" s="1">
        <v>45597</v>
      </c>
      <c r="B176" s="1">
        <v>45688</v>
      </c>
      <c r="C176">
        <v>2024</v>
      </c>
      <c r="D176">
        <v>11</v>
      </c>
      <c r="E176">
        <v>4</v>
      </c>
      <c r="F176" s="2" t="s">
        <v>5</v>
      </c>
      <c r="G176" s="2" t="s">
        <v>0</v>
      </c>
      <c r="H176">
        <v>174</v>
      </c>
      <c r="I176">
        <v>20</v>
      </c>
      <c r="J176">
        <v>414000</v>
      </c>
      <c r="K176">
        <v>4.8099999999999996</v>
      </c>
      <c r="L176">
        <v>58</v>
      </c>
      <c r="M176">
        <v>1500</v>
      </c>
      <c r="N176">
        <v>159</v>
      </c>
      <c r="O176">
        <v>-9.14</v>
      </c>
      <c r="P176">
        <v>378</v>
      </c>
      <c r="Q176">
        <v>21.54</v>
      </c>
      <c r="R176">
        <v>178</v>
      </c>
      <c r="S176">
        <v>3.49</v>
      </c>
    </row>
    <row r="177" spans="1:19" x14ac:dyDescent="0.2">
      <c r="A177" s="1">
        <v>45627</v>
      </c>
      <c r="B177" s="1">
        <v>45716</v>
      </c>
      <c r="C177">
        <v>2024</v>
      </c>
      <c r="D177">
        <v>12</v>
      </c>
      <c r="E177">
        <v>4</v>
      </c>
      <c r="F177" s="2" t="s">
        <v>5</v>
      </c>
      <c r="G177" s="2" t="s">
        <v>0</v>
      </c>
      <c r="H177">
        <v>154</v>
      </c>
      <c r="I177">
        <v>-4.3499999999999996</v>
      </c>
      <c r="J177">
        <v>418500</v>
      </c>
      <c r="K177">
        <v>5.95</v>
      </c>
      <c r="L177">
        <v>57</v>
      </c>
      <c r="M177">
        <v>1400</v>
      </c>
      <c r="N177">
        <v>180</v>
      </c>
      <c r="O177">
        <v>-0.55000000000000004</v>
      </c>
      <c r="P177">
        <v>373</v>
      </c>
      <c r="Q177">
        <v>16.2</v>
      </c>
      <c r="R177">
        <v>165</v>
      </c>
      <c r="S177">
        <v>-17.09</v>
      </c>
    </row>
    <row r="178" spans="1:19" x14ac:dyDescent="0.2">
      <c r="A178" s="1">
        <v>45658</v>
      </c>
      <c r="B178" s="1">
        <v>45747</v>
      </c>
      <c r="C178">
        <v>2025</v>
      </c>
      <c r="D178">
        <v>1</v>
      </c>
      <c r="E178">
        <v>1</v>
      </c>
      <c r="F178" s="2" t="s">
        <v>5</v>
      </c>
      <c r="G178" s="2" t="s">
        <v>0</v>
      </c>
      <c r="H178">
        <v>147</v>
      </c>
      <c r="I178">
        <v>-20.97</v>
      </c>
      <c r="J178">
        <v>407340</v>
      </c>
      <c r="K178">
        <v>2.15</v>
      </c>
      <c r="L178">
        <v>47</v>
      </c>
      <c r="M178">
        <v>1300</v>
      </c>
      <c r="N178">
        <v>241</v>
      </c>
      <c r="O178">
        <v>12.09</v>
      </c>
      <c r="P178">
        <v>418</v>
      </c>
      <c r="Q178">
        <v>23.3</v>
      </c>
      <c r="R178">
        <v>192</v>
      </c>
      <c r="S178">
        <v>-10.7</v>
      </c>
    </row>
    <row r="179" spans="1:19" x14ac:dyDescent="0.2">
      <c r="A179" s="1">
        <v>45689</v>
      </c>
      <c r="B179" s="1">
        <v>45777</v>
      </c>
      <c r="C179">
        <v>2025</v>
      </c>
      <c r="D179">
        <v>2</v>
      </c>
      <c r="E179">
        <v>1</v>
      </c>
      <c r="F179" s="2" t="s">
        <v>5</v>
      </c>
      <c r="G179" s="2" t="s">
        <v>0</v>
      </c>
      <c r="H179">
        <v>170</v>
      </c>
      <c r="I179">
        <v>-16.670000000000002</v>
      </c>
      <c r="J179">
        <v>410000</v>
      </c>
      <c r="K179">
        <v>3.8</v>
      </c>
      <c r="L179">
        <v>39</v>
      </c>
      <c r="M179">
        <v>1100</v>
      </c>
      <c r="N179">
        <v>278</v>
      </c>
      <c r="O179">
        <v>13.01</v>
      </c>
      <c r="P179">
        <v>450</v>
      </c>
      <c r="Q179">
        <v>18.73</v>
      </c>
      <c r="R179">
        <v>212</v>
      </c>
      <c r="S179">
        <v>-10.55</v>
      </c>
    </row>
    <row r="180" spans="1:19" x14ac:dyDescent="0.2">
      <c r="A180" s="1">
        <v>45717</v>
      </c>
      <c r="B180" s="1">
        <v>45808</v>
      </c>
      <c r="C180">
        <v>2025</v>
      </c>
      <c r="D180">
        <v>3</v>
      </c>
      <c r="E180">
        <v>1</v>
      </c>
      <c r="F180" s="2" t="s">
        <v>5</v>
      </c>
      <c r="G180" s="2" t="s">
        <v>0</v>
      </c>
      <c r="H180">
        <v>199</v>
      </c>
      <c r="I180">
        <v>-2.93</v>
      </c>
      <c r="J180">
        <v>400000</v>
      </c>
      <c r="K180">
        <v>1.91</v>
      </c>
      <c r="L180">
        <v>36</v>
      </c>
      <c r="M180">
        <v>1100</v>
      </c>
      <c r="N180">
        <v>314</v>
      </c>
      <c r="O180">
        <v>14.6</v>
      </c>
      <c r="P180">
        <v>499</v>
      </c>
      <c r="Q180">
        <v>29.61</v>
      </c>
      <c r="R180">
        <v>235</v>
      </c>
      <c r="S180">
        <v>0.43</v>
      </c>
    </row>
    <row r="181" spans="1:19" x14ac:dyDescent="0.2">
      <c r="A181" s="1">
        <v>45748</v>
      </c>
      <c r="B181" s="1">
        <v>45838</v>
      </c>
      <c r="C181">
        <v>2025</v>
      </c>
      <c r="D181">
        <v>4</v>
      </c>
      <c r="E181">
        <v>2</v>
      </c>
      <c r="F181" s="2" t="s">
        <v>5</v>
      </c>
      <c r="G181" s="2" t="s">
        <v>0</v>
      </c>
      <c r="H181">
        <v>205</v>
      </c>
      <c r="I181">
        <v>-2.84</v>
      </c>
      <c r="J181">
        <v>410000</v>
      </c>
      <c r="K181">
        <v>1.8</v>
      </c>
      <c r="L181">
        <v>37</v>
      </c>
      <c r="M181">
        <v>1100</v>
      </c>
      <c r="N181">
        <v>298</v>
      </c>
      <c r="O181">
        <v>-1</v>
      </c>
      <c r="P181">
        <v>493</v>
      </c>
      <c r="Q181">
        <v>17.940000000000001</v>
      </c>
      <c r="R181">
        <v>241</v>
      </c>
      <c r="S181">
        <v>0.84</v>
      </c>
    </row>
    <row r="182" spans="1:19" x14ac:dyDescent="0.2">
      <c r="A182" s="1">
        <v>45778</v>
      </c>
      <c r="B182" s="1">
        <v>45869</v>
      </c>
      <c r="C182">
        <v>2025</v>
      </c>
      <c r="D182">
        <v>5</v>
      </c>
      <c r="E182">
        <v>2</v>
      </c>
      <c r="F182" s="2" t="s">
        <v>5</v>
      </c>
      <c r="G182" s="2" t="s">
        <v>0</v>
      </c>
      <c r="H182">
        <v>209</v>
      </c>
      <c r="I182">
        <v>-5.43</v>
      </c>
      <c r="J182">
        <v>415000</v>
      </c>
      <c r="K182">
        <v>1.9</v>
      </c>
      <c r="L182">
        <v>36</v>
      </c>
      <c r="M182">
        <v>1500</v>
      </c>
      <c r="N182">
        <v>278</v>
      </c>
      <c r="O182">
        <v>1.83</v>
      </c>
      <c r="P182">
        <v>492</v>
      </c>
      <c r="Q182">
        <v>18.27</v>
      </c>
      <c r="R182">
        <v>246</v>
      </c>
      <c r="S182">
        <v>6.49</v>
      </c>
    </row>
    <row r="183" spans="1:19" x14ac:dyDescent="0.2">
      <c r="A183" s="1">
        <v>45809</v>
      </c>
      <c r="B183" s="1">
        <v>45900</v>
      </c>
      <c r="C183">
        <v>2025</v>
      </c>
      <c r="D183">
        <v>6</v>
      </c>
      <c r="E183">
        <v>2</v>
      </c>
      <c r="F183" s="2" t="s">
        <v>5</v>
      </c>
      <c r="G183" s="2" t="s">
        <v>0</v>
      </c>
      <c r="H183">
        <v>218</v>
      </c>
      <c r="I183">
        <v>-1.8</v>
      </c>
      <c r="J183">
        <v>420000</v>
      </c>
      <c r="K183">
        <v>2.27</v>
      </c>
      <c r="L183">
        <v>42</v>
      </c>
      <c r="M183">
        <v>1800</v>
      </c>
      <c r="N183">
        <v>242</v>
      </c>
      <c r="O183">
        <v>-6.2</v>
      </c>
      <c r="P183">
        <v>489</v>
      </c>
      <c r="Q183">
        <v>24.11</v>
      </c>
      <c r="R183">
        <v>248</v>
      </c>
      <c r="S183">
        <v>18.66</v>
      </c>
    </row>
    <row r="184" spans="1:19" x14ac:dyDescent="0.2">
      <c r="A184" s="1">
        <v>45839</v>
      </c>
      <c r="B184" s="1">
        <v>45930</v>
      </c>
      <c r="C184">
        <v>2025</v>
      </c>
      <c r="D184">
        <v>7</v>
      </c>
      <c r="E184">
        <v>3</v>
      </c>
      <c r="F184" s="2" t="s">
        <v>5</v>
      </c>
      <c r="G184" s="2" t="s">
        <v>0</v>
      </c>
      <c r="H184">
        <v>234</v>
      </c>
      <c r="I184">
        <v>24.47</v>
      </c>
      <c r="J184">
        <v>419995</v>
      </c>
      <c r="K184">
        <v>2.44</v>
      </c>
      <c r="L184">
        <v>54</v>
      </c>
      <c r="M184">
        <v>2450</v>
      </c>
      <c r="N184">
        <v>234</v>
      </c>
      <c r="O184">
        <v>-1.68</v>
      </c>
      <c r="P184">
        <v>462</v>
      </c>
      <c r="Q184">
        <v>13.79</v>
      </c>
      <c r="R184">
        <v>238</v>
      </c>
      <c r="S184">
        <v>14.42</v>
      </c>
    </row>
    <row r="185" spans="1:19" x14ac:dyDescent="0.2">
      <c r="A185" s="1">
        <v>45870</v>
      </c>
      <c r="B185" s="1">
        <v>45961</v>
      </c>
      <c r="C185">
        <v>2025</v>
      </c>
      <c r="D185">
        <v>8</v>
      </c>
      <c r="E185">
        <v>3</v>
      </c>
      <c r="F185" s="2" t="s">
        <v>5</v>
      </c>
      <c r="G185" s="2" t="s">
        <v>0</v>
      </c>
      <c r="H185">
        <v>215</v>
      </c>
      <c r="I185">
        <v>24.28</v>
      </c>
      <c r="J185">
        <v>410000</v>
      </c>
      <c r="K185">
        <v>2.2400000000000002</v>
      </c>
      <c r="L185">
        <v>60</v>
      </c>
      <c r="M185">
        <v>2050</v>
      </c>
      <c r="N185">
        <v>239</v>
      </c>
      <c r="O185">
        <v>-5.91</v>
      </c>
      <c r="P185">
        <v>471</v>
      </c>
      <c r="Q185">
        <v>12.95</v>
      </c>
      <c r="R185">
        <v>247</v>
      </c>
      <c r="S185">
        <v>24.75</v>
      </c>
    </row>
    <row r="186" spans="1:19" x14ac:dyDescent="0.2">
      <c r="A186" s="1">
        <v>45901</v>
      </c>
      <c r="B186" s="1">
        <v>45991</v>
      </c>
      <c r="C186">
        <v>2025</v>
      </c>
      <c r="D186">
        <v>9</v>
      </c>
      <c r="E186">
        <v>3</v>
      </c>
      <c r="F186" s="2" t="s">
        <v>5</v>
      </c>
      <c r="G186" s="2" t="s">
        <v>0</v>
      </c>
      <c r="H186">
        <v>212</v>
      </c>
      <c r="I186">
        <v>27.71</v>
      </c>
      <c r="J186">
        <v>409995</v>
      </c>
      <c r="K186">
        <v>1.3</v>
      </c>
      <c r="L186">
        <v>56</v>
      </c>
      <c r="M186">
        <v>900</v>
      </c>
      <c r="N186">
        <v>229</v>
      </c>
      <c r="O186">
        <v>-2.14</v>
      </c>
      <c r="P186">
        <v>432</v>
      </c>
      <c r="Q186">
        <v>4.8499999999999996</v>
      </c>
      <c r="R186">
        <v>207</v>
      </c>
      <c r="S186">
        <v>5.08</v>
      </c>
    </row>
    <row r="187" spans="1:19" x14ac:dyDescent="0.2">
      <c r="A187" s="1">
        <v>45931</v>
      </c>
      <c r="B187" s="1">
        <v>46022</v>
      </c>
      <c r="C187">
        <v>2025</v>
      </c>
      <c r="D187">
        <v>10</v>
      </c>
      <c r="E187">
        <v>4</v>
      </c>
      <c r="F187" s="2" t="s">
        <v>5</v>
      </c>
      <c r="G187" s="2" t="s">
        <v>0</v>
      </c>
      <c r="H187">
        <v>194</v>
      </c>
      <c r="I187">
        <v>5.43</v>
      </c>
      <c r="J187">
        <v>396411</v>
      </c>
      <c r="K187">
        <v>-3.31</v>
      </c>
      <c r="L187">
        <v>54</v>
      </c>
      <c r="M187">
        <v>700</v>
      </c>
      <c r="N187">
        <v>222</v>
      </c>
      <c r="O187">
        <v>16.84</v>
      </c>
      <c r="P187">
        <v>426</v>
      </c>
      <c r="Q187">
        <v>9.51</v>
      </c>
      <c r="R187">
        <v>204</v>
      </c>
      <c r="S187">
        <v>7.37</v>
      </c>
    </row>
    <row r="188" spans="1:19" x14ac:dyDescent="0.2">
      <c r="A188" s="1">
        <v>45962</v>
      </c>
      <c r="B188" s="1">
        <v>46053</v>
      </c>
      <c r="C188">
        <v>2025</v>
      </c>
      <c r="D188">
        <v>11</v>
      </c>
      <c r="E188">
        <v>4</v>
      </c>
      <c r="F188" s="2" t="s">
        <v>5</v>
      </c>
      <c r="G188" s="2" t="s">
        <v>0</v>
      </c>
      <c r="H188">
        <v>182</v>
      </c>
      <c r="I188">
        <v>4.5999999999999996</v>
      </c>
      <c r="J188">
        <v>410000</v>
      </c>
      <c r="K188">
        <v>-0.97</v>
      </c>
      <c r="L188">
        <v>53</v>
      </c>
      <c r="M188">
        <v>-500</v>
      </c>
      <c r="N188">
        <v>253</v>
      </c>
      <c r="O188">
        <v>59.12</v>
      </c>
      <c r="P188">
        <v>453</v>
      </c>
      <c r="Q188">
        <v>19.84</v>
      </c>
      <c r="R188">
        <v>204</v>
      </c>
      <c r="S188">
        <v>14.61</v>
      </c>
    </row>
    <row r="189" spans="1:19" x14ac:dyDescent="0.2">
      <c r="A189" s="1">
        <v>45992</v>
      </c>
      <c r="B189" s="1">
        <v>46081</v>
      </c>
      <c r="C189">
        <v>2025</v>
      </c>
      <c r="D189">
        <v>12</v>
      </c>
      <c r="E189">
        <v>4</v>
      </c>
      <c r="F189" s="2" t="s">
        <v>5</v>
      </c>
      <c r="G189" s="2" t="s">
        <v>0</v>
      </c>
      <c r="H189">
        <v>183</v>
      </c>
      <c r="I189">
        <v>18.829999999999998</v>
      </c>
      <c r="J189">
        <v>399990</v>
      </c>
      <c r="K189">
        <v>-4.42</v>
      </c>
      <c r="L189">
        <v>45</v>
      </c>
      <c r="M189">
        <v>-1200</v>
      </c>
      <c r="N189">
        <v>274</v>
      </c>
      <c r="O189">
        <v>52.22</v>
      </c>
      <c r="P189">
        <v>475</v>
      </c>
      <c r="Q189">
        <v>27.35</v>
      </c>
      <c r="R189">
        <v>240</v>
      </c>
      <c r="S189">
        <v>45.45</v>
      </c>
    </row>
    <row r="190" spans="1:19" x14ac:dyDescent="0.2">
      <c r="A190" s="1">
        <v>46023</v>
      </c>
      <c r="B190" s="1">
        <v>46112</v>
      </c>
      <c r="C190">
        <v>2026</v>
      </c>
      <c r="D190">
        <v>1</v>
      </c>
      <c r="E190">
        <v>1</v>
      </c>
      <c r="F190" s="2" t="s">
        <v>5</v>
      </c>
      <c r="G190" s="2" t="s">
        <v>0</v>
      </c>
      <c r="H190">
        <v>216</v>
      </c>
      <c r="I190">
        <v>46.94</v>
      </c>
      <c r="J190">
        <v>399250</v>
      </c>
      <c r="K190">
        <v>-1.99</v>
      </c>
      <c r="L190">
        <v>41</v>
      </c>
      <c r="M190">
        <v>-550</v>
      </c>
      <c r="N190">
        <v>292</v>
      </c>
      <c r="O190">
        <v>21.16</v>
      </c>
      <c r="P190">
        <v>484</v>
      </c>
      <c r="Q190">
        <v>15.79</v>
      </c>
      <c r="R190">
        <v>281</v>
      </c>
      <c r="S190">
        <v>46.35</v>
      </c>
    </row>
    <row r="191" spans="1:19" x14ac:dyDescent="0.2">
      <c r="A191" s="1">
        <v>46054</v>
      </c>
      <c r="B191" s="1">
        <v>46142</v>
      </c>
      <c r="C191">
        <v>2026</v>
      </c>
      <c r="D191">
        <v>2</v>
      </c>
      <c r="E191">
        <v>1</v>
      </c>
      <c r="F191" s="2" t="s">
        <v>5</v>
      </c>
      <c r="G191" s="2" t="s">
        <v>0</v>
      </c>
      <c r="H191">
        <v>249</v>
      </c>
      <c r="I191">
        <v>46.31</v>
      </c>
      <c r="J191">
        <v>398784</v>
      </c>
      <c r="K191">
        <v>-2.74</v>
      </c>
      <c r="L191">
        <v>39</v>
      </c>
      <c r="M191">
        <v>-44.18</v>
      </c>
      <c r="N191">
        <v>263</v>
      </c>
      <c r="O191">
        <v>-5.37</v>
      </c>
      <c r="P191">
        <v>478</v>
      </c>
      <c r="Q191">
        <v>6.16</v>
      </c>
      <c r="R191">
        <v>294</v>
      </c>
      <c r="S191">
        <v>38.450000000000003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4FC0-3C71-634E-8615-450F85369F93}">
  <sheetPr>
    <tabColor theme="3" tint="0.249977111117893"/>
  </sheetPr>
  <dimension ref="A1:W46"/>
  <sheetViews>
    <sheetView workbookViewId="0">
      <selection activeCell="H24" sqref="H24"/>
    </sheetView>
  </sheetViews>
  <sheetFormatPr baseColWidth="10" defaultRowHeight="16" x14ac:dyDescent="0.2"/>
  <cols>
    <col min="1" max="1" width="34.1640625" bestFit="1" customWidth="1"/>
    <col min="2" max="2" width="16" bestFit="1" customWidth="1"/>
    <col min="3" max="3" width="6.83203125" bestFit="1" customWidth="1"/>
    <col min="4" max="5" width="9.6640625" bestFit="1" customWidth="1"/>
    <col min="6" max="6" width="7.33203125" bestFit="1" customWidth="1"/>
    <col min="7" max="7" width="10.5" bestFit="1" customWidth="1"/>
    <col min="9" max="9" width="31.5" bestFit="1" customWidth="1"/>
    <col min="10" max="10" width="16" bestFit="1" customWidth="1"/>
    <col min="11" max="11" width="6.83203125" bestFit="1" customWidth="1"/>
    <col min="12" max="13" width="9.6640625" bestFit="1" customWidth="1"/>
    <col min="14" max="14" width="7.33203125" bestFit="1" customWidth="1"/>
    <col min="15" max="15" width="10.5" bestFit="1" customWidth="1"/>
    <col min="17" max="17" width="26" bestFit="1" customWidth="1"/>
    <col min="18" max="18" width="16" bestFit="1" customWidth="1"/>
    <col min="19" max="19" width="8.6640625" bestFit="1" customWidth="1"/>
    <col min="20" max="21" width="9.6640625" bestFit="1" customWidth="1"/>
    <col min="22" max="22" width="8.6640625" bestFit="1" customWidth="1"/>
    <col min="23" max="23" width="10.5" bestFit="1" customWidth="1"/>
  </cols>
  <sheetData>
    <row r="1" spans="1:23" x14ac:dyDescent="0.2">
      <c r="A1" s="3" t="s">
        <v>40</v>
      </c>
      <c r="B1" s="3" t="s">
        <v>31</v>
      </c>
      <c r="I1" s="3" t="s">
        <v>38</v>
      </c>
      <c r="J1" s="3" t="s">
        <v>31</v>
      </c>
      <c r="Q1" s="3" t="s">
        <v>32</v>
      </c>
      <c r="R1" s="3" t="s">
        <v>31</v>
      </c>
    </row>
    <row r="2" spans="1:23" x14ac:dyDescent="0.2">
      <c r="A2" s="3" t="s">
        <v>29</v>
      </c>
      <c r="B2" t="s">
        <v>2</v>
      </c>
      <c r="C2" t="s">
        <v>4</v>
      </c>
      <c r="D2" t="s">
        <v>3</v>
      </c>
      <c r="E2" t="s">
        <v>1</v>
      </c>
      <c r="F2" t="s">
        <v>0</v>
      </c>
      <c r="G2" t="s">
        <v>30</v>
      </c>
      <c r="I2" s="3" t="s">
        <v>29</v>
      </c>
      <c r="J2" t="s">
        <v>2</v>
      </c>
      <c r="K2" t="s">
        <v>4</v>
      </c>
      <c r="L2" t="s">
        <v>3</v>
      </c>
      <c r="M2" t="s">
        <v>1</v>
      </c>
      <c r="N2" t="s">
        <v>0</v>
      </c>
      <c r="O2" t="s">
        <v>30</v>
      </c>
      <c r="Q2" s="3" t="s">
        <v>29</v>
      </c>
      <c r="R2" t="s">
        <v>2</v>
      </c>
      <c r="S2" t="s">
        <v>4</v>
      </c>
      <c r="T2" t="s">
        <v>3</v>
      </c>
      <c r="U2" t="s">
        <v>1</v>
      </c>
      <c r="V2" t="s">
        <v>0</v>
      </c>
      <c r="W2" t="s">
        <v>30</v>
      </c>
    </row>
    <row r="3" spans="1:23" x14ac:dyDescent="0.2">
      <c r="A3" s="4" t="s">
        <v>26</v>
      </c>
      <c r="B3" s="8"/>
      <c r="C3" s="8"/>
      <c r="D3" s="8"/>
      <c r="E3" s="8"/>
      <c r="F3" s="8"/>
      <c r="G3" s="8"/>
      <c r="I3" s="4">
        <v>2023</v>
      </c>
      <c r="J3" s="8">
        <v>572</v>
      </c>
      <c r="K3" s="8">
        <v>141</v>
      </c>
      <c r="L3" s="8">
        <v>112</v>
      </c>
      <c r="M3" s="8">
        <v>1093</v>
      </c>
      <c r="N3" s="8">
        <v>2117</v>
      </c>
      <c r="O3" s="8">
        <v>4035</v>
      </c>
      <c r="Q3" s="4" t="s">
        <v>26</v>
      </c>
      <c r="R3" s="5">
        <v>378645.83333333331</v>
      </c>
      <c r="S3" s="5">
        <v>471700.25</v>
      </c>
      <c r="T3" s="5">
        <v>422333.33333333331</v>
      </c>
      <c r="U3" s="5">
        <v>471374.16666666669</v>
      </c>
      <c r="V3" s="5">
        <v>392316.08333333331</v>
      </c>
      <c r="W3" s="5">
        <v>427273.93333333335</v>
      </c>
    </row>
    <row r="4" spans="1:23" x14ac:dyDescent="0.2">
      <c r="A4" s="6" t="s">
        <v>33</v>
      </c>
      <c r="B4" s="8">
        <v>70</v>
      </c>
      <c r="C4" s="8">
        <v>17</v>
      </c>
      <c r="D4" s="8">
        <v>11</v>
      </c>
      <c r="E4" s="8">
        <v>177</v>
      </c>
      <c r="F4" s="8">
        <v>278</v>
      </c>
      <c r="G4" s="8">
        <v>110.6</v>
      </c>
      <c r="I4" s="6" t="s">
        <v>33</v>
      </c>
      <c r="J4" s="8">
        <v>143</v>
      </c>
      <c r="K4" s="8">
        <v>27</v>
      </c>
      <c r="L4" s="8">
        <v>27</v>
      </c>
      <c r="M4" s="8">
        <v>279</v>
      </c>
      <c r="N4" s="8">
        <v>403</v>
      </c>
      <c r="O4" s="8">
        <v>879</v>
      </c>
      <c r="Q4" s="6" t="s">
        <v>33</v>
      </c>
      <c r="R4" s="5">
        <v>365000</v>
      </c>
      <c r="S4" s="5">
        <v>496666.66666666669</v>
      </c>
      <c r="T4" s="5">
        <v>363000</v>
      </c>
      <c r="U4" s="5">
        <v>455416.66666666669</v>
      </c>
      <c r="V4" s="5">
        <v>383831.66666666669</v>
      </c>
      <c r="W4" s="5">
        <v>412783</v>
      </c>
    </row>
    <row r="5" spans="1:23" x14ac:dyDescent="0.2">
      <c r="A5" s="6" t="s">
        <v>34</v>
      </c>
      <c r="B5" s="8">
        <v>80.666666666666671</v>
      </c>
      <c r="C5" s="8">
        <v>26.666666666666668</v>
      </c>
      <c r="D5" s="8">
        <v>11.333333333333334</v>
      </c>
      <c r="E5" s="8">
        <v>187.66666666666666</v>
      </c>
      <c r="F5" s="8">
        <v>334.33333333333331</v>
      </c>
      <c r="G5" s="8">
        <v>128.13333333333333</v>
      </c>
      <c r="I5" s="6" t="s">
        <v>34</v>
      </c>
      <c r="J5" s="8">
        <v>169</v>
      </c>
      <c r="K5" s="8">
        <v>45</v>
      </c>
      <c r="L5" s="8">
        <v>22</v>
      </c>
      <c r="M5" s="8">
        <v>292</v>
      </c>
      <c r="N5" s="8">
        <v>607</v>
      </c>
      <c r="O5" s="8">
        <v>1135</v>
      </c>
      <c r="Q5" s="6" t="s">
        <v>34</v>
      </c>
      <c r="R5" s="5">
        <v>392666.66666666669</v>
      </c>
      <c r="S5" s="5">
        <v>470000</v>
      </c>
      <c r="T5" s="5">
        <v>427833.33333333331</v>
      </c>
      <c r="U5" s="5">
        <v>455583.33333333331</v>
      </c>
      <c r="V5" s="5">
        <v>388772.66666666669</v>
      </c>
      <c r="W5" s="5">
        <v>426971.2</v>
      </c>
    </row>
    <row r="6" spans="1:23" x14ac:dyDescent="0.2">
      <c r="A6" s="6" t="s">
        <v>35</v>
      </c>
      <c r="B6" s="8">
        <v>87.666666666666671</v>
      </c>
      <c r="C6" s="8">
        <v>27.333333333333332</v>
      </c>
      <c r="D6" s="8">
        <v>20.666666666666668</v>
      </c>
      <c r="E6" s="8">
        <v>179</v>
      </c>
      <c r="F6" s="8">
        <v>389</v>
      </c>
      <c r="G6" s="8">
        <v>140.73333333333332</v>
      </c>
      <c r="I6" s="6" t="s">
        <v>35</v>
      </c>
      <c r="J6" s="8">
        <v>152</v>
      </c>
      <c r="K6" s="8">
        <v>39</v>
      </c>
      <c r="L6" s="8">
        <v>32</v>
      </c>
      <c r="M6" s="8">
        <v>299</v>
      </c>
      <c r="N6" s="8">
        <v>628</v>
      </c>
      <c r="O6" s="8">
        <v>1150</v>
      </c>
      <c r="Q6" s="6" t="s">
        <v>35</v>
      </c>
      <c r="R6" s="5">
        <v>380833.33333333331</v>
      </c>
      <c r="S6" s="5">
        <v>450583.33333333331</v>
      </c>
      <c r="T6" s="5">
        <v>422500</v>
      </c>
      <c r="U6" s="5">
        <v>481163.33333333331</v>
      </c>
      <c r="V6" s="5">
        <v>401330</v>
      </c>
      <c r="W6" s="5">
        <v>427282</v>
      </c>
    </row>
    <row r="7" spans="1:23" x14ac:dyDescent="0.2">
      <c r="A7" s="6" t="s">
        <v>36</v>
      </c>
      <c r="B7" s="8">
        <v>77</v>
      </c>
      <c r="C7" s="8">
        <v>20.333333333333332</v>
      </c>
      <c r="D7" s="8">
        <v>25.333333333333332</v>
      </c>
      <c r="E7" s="8">
        <v>160.66666666666666</v>
      </c>
      <c r="F7" s="8">
        <v>343.66666666666669</v>
      </c>
      <c r="G7" s="8">
        <v>125.4</v>
      </c>
      <c r="I7" s="6" t="s">
        <v>36</v>
      </c>
      <c r="J7" s="8">
        <v>108</v>
      </c>
      <c r="K7" s="8">
        <v>30</v>
      </c>
      <c r="L7" s="8">
        <v>31</v>
      </c>
      <c r="M7" s="8">
        <v>223</v>
      </c>
      <c r="N7" s="8">
        <v>479</v>
      </c>
      <c r="O7" s="8">
        <v>871</v>
      </c>
      <c r="Q7" s="6" t="s">
        <v>36</v>
      </c>
      <c r="R7" s="5">
        <v>376083.33333333331</v>
      </c>
      <c r="S7" s="5">
        <v>469551</v>
      </c>
      <c r="T7" s="5">
        <v>476000</v>
      </c>
      <c r="U7" s="5">
        <v>493333.33333333331</v>
      </c>
      <c r="V7" s="5">
        <v>395330</v>
      </c>
      <c r="W7" s="5">
        <v>442059.53333333333</v>
      </c>
    </row>
    <row r="8" spans="1:23" x14ac:dyDescent="0.2">
      <c r="A8" s="4" t="s">
        <v>25</v>
      </c>
      <c r="B8" s="8"/>
      <c r="C8" s="8"/>
      <c r="D8" s="8"/>
      <c r="E8" s="8"/>
      <c r="F8" s="8"/>
      <c r="G8" s="8"/>
      <c r="I8" s="4">
        <v>2024</v>
      </c>
      <c r="J8" s="8">
        <v>679</v>
      </c>
      <c r="K8" s="8">
        <v>113</v>
      </c>
      <c r="L8" s="8">
        <v>131</v>
      </c>
      <c r="M8" s="8">
        <v>1097</v>
      </c>
      <c r="N8" s="8">
        <v>2288</v>
      </c>
      <c r="O8" s="8">
        <v>4308</v>
      </c>
      <c r="Q8" s="4" t="s">
        <v>25</v>
      </c>
      <c r="R8" s="5">
        <v>400833.33333333331</v>
      </c>
      <c r="S8" s="5">
        <v>540491.66666666663</v>
      </c>
      <c r="T8" s="5">
        <v>414583.33333333331</v>
      </c>
      <c r="U8" s="5">
        <v>474874.25</v>
      </c>
      <c r="V8" s="5">
        <v>405431.66666666669</v>
      </c>
      <c r="W8" s="5">
        <v>447242.85</v>
      </c>
    </row>
    <row r="9" spans="1:23" x14ac:dyDescent="0.2">
      <c r="A9" s="6" t="s">
        <v>33</v>
      </c>
      <c r="B9" s="8">
        <v>88</v>
      </c>
      <c r="C9" s="8">
        <v>11.666666666666666</v>
      </c>
      <c r="D9" s="8">
        <v>16.333333333333332</v>
      </c>
      <c r="E9" s="8">
        <v>166.33333333333334</v>
      </c>
      <c r="F9" s="8">
        <v>323.66666666666669</v>
      </c>
      <c r="G9" s="8">
        <v>121.2</v>
      </c>
      <c r="I9" s="6" t="s">
        <v>33</v>
      </c>
      <c r="J9" s="8">
        <v>170</v>
      </c>
      <c r="K9" s="8">
        <v>24</v>
      </c>
      <c r="L9" s="8">
        <v>32</v>
      </c>
      <c r="M9" s="8">
        <v>253</v>
      </c>
      <c r="N9" s="8">
        <v>595</v>
      </c>
      <c r="O9" s="8">
        <v>1074</v>
      </c>
      <c r="Q9" s="6" t="s">
        <v>33</v>
      </c>
      <c r="R9" s="5">
        <v>382000</v>
      </c>
      <c r="S9" s="5">
        <v>599166.66666666663</v>
      </c>
      <c r="T9" s="5">
        <v>429166.66666666669</v>
      </c>
      <c r="U9" s="5">
        <v>477500</v>
      </c>
      <c r="V9" s="5">
        <v>395416.66666666669</v>
      </c>
      <c r="W9" s="5">
        <v>456650</v>
      </c>
    </row>
    <row r="10" spans="1:23" x14ac:dyDescent="0.2">
      <c r="A10" s="6" t="s">
        <v>34</v>
      </c>
      <c r="B10" s="8">
        <v>114</v>
      </c>
      <c r="C10" s="8">
        <v>11.333333333333334</v>
      </c>
      <c r="D10" s="8">
        <v>20.333333333333332</v>
      </c>
      <c r="E10" s="8">
        <v>176.33333333333334</v>
      </c>
      <c r="F10" s="8">
        <v>394</v>
      </c>
      <c r="G10" s="8">
        <v>143.19999999999999</v>
      </c>
      <c r="I10" s="6" t="s">
        <v>34</v>
      </c>
      <c r="J10" s="8">
        <v>191</v>
      </c>
      <c r="K10" s="8">
        <v>24</v>
      </c>
      <c r="L10" s="8">
        <v>40</v>
      </c>
      <c r="M10" s="8">
        <v>285</v>
      </c>
      <c r="N10" s="8">
        <v>654</v>
      </c>
      <c r="O10" s="8">
        <v>1194</v>
      </c>
      <c r="Q10" s="6" t="s">
        <v>34</v>
      </c>
      <c r="R10" s="5">
        <v>416333.33333333331</v>
      </c>
      <c r="S10" s="5">
        <v>592133.33333333337</v>
      </c>
      <c r="T10" s="5">
        <v>407500</v>
      </c>
      <c r="U10" s="5">
        <v>466828.33333333331</v>
      </c>
      <c r="V10" s="5">
        <v>406893.33333333331</v>
      </c>
      <c r="W10" s="5">
        <v>457937.66666666669</v>
      </c>
    </row>
    <row r="11" spans="1:23" x14ac:dyDescent="0.2">
      <c r="A11" s="6" t="s">
        <v>35</v>
      </c>
      <c r="B11" s="8">
        <v>105.66666666666667</v>
      </c>
      <c r="C11" s="8">
        <v>19.333333333333332</v>
      </c>
      <c r="D11" s="8">
        <v>15.333333333333334</v>
      </c>
      <c r="E11" s="8">
        <v>194.66666666666666</v>
      </c>
      <c r="F11" s="8">
        <v>405.33333333333331</v>
      </c>
      <c r="G11" s="8">
        <v>148.06666666666666</v>
      </c>
      <c r="I11" s="6" t="s">
        <v>35</v>
      </c>
      <c r="J11" s="8">
        <v>165</v>
      </c>
      <c r="K11" s="8">
        <v>29</v>
      </c>
      <c r="L11" s="8">
        <v>31</v>
      </c>
      <c r="M11" s="8">
        <v>308</v>
      </c>
      <c r="N11" s="8">
        <v>527</v>
      </c>
      <c r="O11" s="8">
        <v>1060</v>
      </c>
      <c r="Q11" s="6" t="s">
        <v>35</v>
      </c>
      <c r="R11" s="5">
        <v>405833.33333333331</v>
      </c>
      <c r="S11" s="5">
        <v>476583.33333333331</v>
      </c>
      <c r="T11" s="5">
        <v>393333.33333333331</v>
      </c>
      <c r="U11" s="5">
        <v>468996.66666666669</v>
      </c>
      <c r="V11" s="5">
        <v>405250</v>
      </c>
      <c r="W11" s="5">
        <v>429999.33333333331</v>
      </c>
    </row>
    <row r="12" spans="1:23" x14ac:dyDescent="0.2">
      <c r="A12" s="6" t="s">
        <v>36</v>
      </c>
      <c r="B12" s="8">
        <v>88.333333333333329</v>
      </c>
      <c r="C12" s="8">
        <v>22</v>
      </c>
      <c r="D12" s="8">
        <v>18</v>
      </c>
      <c r="E12" s="8">
        <v>194.66666666666666</v>
      </c>
      <c r="F12" s="8">
        <v>406</v>
      </c>
      <c r="G12" s="8">
        <v>145.80000000000001</v>
      </c>
      <c r="I12" s="6" t="s">
        <v>36</v>
      </c>
      <c r="J12" s="8">
        <v>153</v>
      </c>
      <c r="K12" s="8">
        <v>36</v>
      </c>
      <c r="L12" s="8">
        <v>28</v>
      </c>
      <c r="M12" s="8">
        <v>251</v>
      </c>
      <c r="N12" s="8">
        <v>512</v>
      </c>
      <c r="O12" s="8">
        <v>980</v>
      </c>
      <c r="Q12" s="6" t="s">
        <v>36</v>
      </c>
      <c r="R12" s="5">
        <v>399166.66666666669</v>
      </c>
      <c r="S12" s="5">
        <v>494083.33333333331</v>
      </c>
      <c r="T12" s="5">
        <v>428333.33333333331</v>
      </c>
      <c r="U12" s="5">
        <v>486172</v>
      </c>
      <c r="V12" s="5">
        <v>414166.66666666669</v>
      </c>
      <c r="W12" s="5">
        <v>444384.4</v>
      </c>
    </row>
    <row r="13" spans="1:23" x14ac:dyDescent="0.2">
      <c r="A13" s="4" t="s">
        <v>27</v>
      </c>
      <c r="B13" s="8"/>
      <c r="C13" s="8"/>
      <c r="D13" s="8"/>
      <c r="E13" s="8"/>
      <c r="F13" s="8"/>
      <c r="G13" s="8"/>
      <c r="I13" s="4">
        <v>2025</v>
      </c>
      <c r="J13" s="8">
        <v>624</v>
      </c>
      <c r="K13" s="8">
        <v>102</v>
      </c>
      <c r="L13" s="8">
        <v>115</v>
      </c>
      <c r="M13" s="8">
        <v>1010</v>
      </c>
      <c r="N13" s="8">
        <v>2368</v>
      </c>
      <c r="O13" s="8">
        <v>4219</v>
      </c>
      <c r="Q13" s="4" t="s">
        <v>27</v>
      </c>
      <c r="R13" s="5">
        <v>423937.5</v>
      </c>
      <c r="S13" s="5">
        <v>513971.66666666669</v>
      </c>
      <c r="T13" s="5">
        <v>433833.33333333331</v>
      </c>
      <c r="U13" s="5">
        <v>475317.91666666669</v>
      </c>
      <c r="V13" s="5">
        <v>409060.91666666669</v>
      </c>
      <c r="W13" s="5">
        <v>451224.26666666666</v>
      </c>
    </row>
    <row r="14" spans="1:23" x14ac:dyDescent="0.2">
      <c r="A14" s="6" t="s">
        <v>33</v>
      </c>
      <c r="B14" s="8">
        <v>90.666666666666671</v>
      </c>
      <c r="C14" s="8">
        <v>22</v>
      </c>
      <c r="D14" s="8">
        <v>21.333333333333332</v>
      </c>
      <c r="E14" s="8">
        <v>170</v>
      </c>
      <c r="F14" s="8">
        <v>389.66666666666669</v>
      </c>
      <c r="G14" s="8">
        <v>138.73333333333332</v>
      </c>
      <c r="I14" s="6" t="s">
        <v>33</v>
      </c>
      <c r="J14" s="8">
        <v>167</v>
      </c>
      <c r="K14" s="8">
        <v>25</v>
      </c>
      <c r="L14" s="8">
        <v>34</v>
      </c>
      <c r="M14" s="8">
        <v>232</v>
      </c>
      <c r="N14" s="8">
        <v>516</v>
      </c>
      <c r="O14" s="8">
        <v>974</v>
      </c>
      <c r="Q14" s="6" t="s">
        <v>33</v>
      </c>
      <c r="R14" s="5">
        <v>414250</v>
      </c>
      <c r="S14" s="5">
        <v>553333.33333333337</v>
      </c>
      <c r="T14" s="5">
        <v>424000</v>
      </c>
      <c r="U14" s="5">
        <v>473733.33333333331</v>
      </c>
      <c r="V14" s="5">
        <v>405780</v>
      </c>
      <c r="W14" s="5">
        <v>454219.33333333331</v>
      </c>
    </row>
    <row r="15" spans="1:23" x14ac:dyDescent="0.2">
      <c r="A15" s="6" t="s">
        <v>34</v>
      </c>
      <c r="B15" s="8">
        <v>102.33333333333333</v>
      </c>
      <c r="C15" s="8">
        <v>20.666666666666668</v>
      </c>
      <c r="D15" s="8">
        <v>25.333333333333332</v>
      </c>
      <c r="E15" s="8">
        <v>227.66666666666666</v>
      </c>
      <c r="F15" s="8">
        <v>480.66666666666669</v>
      </c>
      <c r="G15" s="8">
        <v>171.33333333333334</v>
      </c>
      <c r="I15" s="6" t="s">
        <v>34</v>
      </c>
      <c r="J15" s="8">
        <v>156</v>
      </c>
      <c r="K15" s="8">
        <v>26</v>
      </c>
      <c r="L15" s="8">
        <v>30</v>
      </c>
      <c r="M15" s="8">
        <v>279</v>
      </c>
      <c r="N15" s="8">
        <v>632</v>
      </c>
      <c r="O15" s="8">
        <v>1123</v>
      </c>
      <c r="Q15" s="6" t="s">
        <v>34</v>
      </c>
      <c r="R15" s="5">
        <v>445833.33333333331</v>
      </c>
      <c r="S15" s="5">
        <v>547720</v>
      </c>
      <c r="T15" s="5">
        <v>441666.66666666669</v>
      </c>
      <c r="U15" s="5">
        <v>477833.33333333331</v>
      </c>
      <c r="V15" s="5">
        <v>415000</v>
      </c>
      <c r="W15" s="5">
        <v>465610.66666666669</v>
      </c>
    </row>
    <row r="16" spans="1:23" x14ac:dyDescent="0.2">
      <c r="A16" s="6" t="s">
        <v>35</v>
      </c>
      <c r="B16" s="8">
        <v>108.66666666666667</v>
      </c>
      <c r="C16" s="8">
        <v>18</v>
      </c>
      <c r="D16" s="8">
        <v>27.666666666666668</v>
      </c>
      <c r="E16" s="8">
        <v>236</v>
      </c>
      <c r="F16" s="8">
        <v>481</v>
      </c>
      <c r="G16" s="8">
        <v>174.26666666666668</v>
      </c>
      <c r="I16" s="6" t="s">
        <v>35</v>
      </c>
      <c r="J16" s="8">
        <v>148</v>
      </c>
      <c r="K16" s="8">
        <v>22</v>
      </c>
      <c r="L16" s="8">
        <v>29</v>
      </c>
      <c r="M16" s="8">
        <v>279</v>
      </c>
      <c r="N16" s="8">
        <v>661</v>
      </c>
      <c r="O16" s="8">
        <v>1139</v>
      </c>
      <c r="Q16" s="6" t="s">
        <v>35</v>
      </c>
      <c r="R16" s="5">
        <v>421500</v>
      </c>
      <c r="S16" s="5">
        <v>512833.33333333331</v>
      </c>
      <c r="T16" s="5">
        <v>428833.33333333331</v>
      </c>
      <c r="U16" s="5">
        <v>480415</v>
      </c>
      <c r="V16" s="5">
        <v>413330</v>
      </c>
      <c r="W16" s="5">
        <v>451382.33333333331</v>
      </c>
    </row>
    <row r="17" spans="1:23" x14ac:dyDescent="0.2">
      <c r="A17" s="6" t="s">
        <v>36</v>
      </c>
      <c r="B17" s="8">
        <v>101.66666666666667</v>
      </c>
      <c r="C17" s="8">
        <v>21</v>
      </c>
      <c r="D17" s="8">
        <v>25.333333333333332</v>
      </c>
      <c r="E17" s="8">
        <v>218.33333333333334</v>
      </c>
      <c r="F17" s="8">
        <v>443</v>
      </c>
      <c r="G17" s="8">
        <v>161.86666666666667</v>
      </c>
      <c r="I17" s="6" t="s">
        <v>36</v>
      </c>
      <c r="J17" s="8">
        <v>153</v>
      </c>
      <c r="K17" s="8">
        <v>29</v>
      </c>
      <c r="L17" s="8">
        <v>22</v>
      </c>
      <c r="M17" s="8">
        <v>220</v>
      </c>
      <c r="N17" s="8">
        <v>559</v>
      </c>
      <c r="O17" s="8">
        <v>983</v>
      </c>
      <c r="Q17" s="6" t="s">
        <v>36</v>
      </c>
      <c r="R17" s="5">
        <v>414166.66666666669</v>
      </c>
      <c r="S17" s="5">
        <v>442000</v>
      </c>
      <c r="T17" s="5">
        <v>440833.33333333331</v>
      </c>
      <c r="U17" s="5">
        <v>469290</v>
      </c>
      <c r="V17" s="5">
        <v>402133.66666666669</v>
      </c>
      <c r="W17" s="5">
        <v>433684.73333333334</v>
      </c>
    </row>
    <row r="18" spans="1:23" x14ac:dyDescent="0.2">
      <c r="A18" s="4" t="s">
        <v>28</v>
      </c>
      <c r="B18" s="8"/>
      <c r="C18" s="8"/>
      <c r="D18" s="8"/>
      <c r="E18" s="8"/>
      <c r="F18" s="8"/>
      <c r="G18" s="8"/>
      <c r="I18" s="4">
        <v>2026</v>
      </c>
      <c r="J18" s="8">
        <v>89</v>
      </c>
      <c r="K18" s="8">
        <v>22</v>
      </c>
      <c r="L18" s="8">
        <v>17</v>
      </c>
      <c r="M18" s="8">
        <v>168</v>
      </c>
      <c r="N18" s="8">
        <v>465</v>
      </c>
      <c r="O18" s="8">
        <v>761</v>
      </c>
      <c r="Q18" s="4" t="s">
        <v>28</v>
      </c>
      <c r="R18" s="5">
        <v>414893</v>
      </c>
      <c r="S18" s="5">
        <v>509863</v>
      </c>
      <c r="T18" s="5">
        <v>421147</v>
      </c>
      <c r="U18" s="5">
        <v>440570</v>
      </c>
      <c r="V18" s="5">
        <v>399017</v>
      </c>
      <c r="W18" s="5">
        <v>437098</v>
      </c>
    </row>
    <row r="19" spans="1:23" x14ac:dyDescent="0.2">
      <c r="A19" s="6" t="s">
        <v>33</v>
      </c>
      <c r="B19" s="8">
        <v>80.333333333333329</v>
      </c>
      <c r="C19" s="8">
        <v>13</v>
      </c>
      <c r="D19" s="8">
        <v>20.333333333333332</v>
      </c>
      <c r="E19" s="8">
        <v>190.66666666666666</v>
      </c>
      <c r="F19" s="8">
        <v>470.66666666666669</v>
      </c>
      <c r="G19" s="8">
        <v>155</v>
      </c>
      <c r="I19" s="6" t="s">
        <v>33</v>
      </c>
      <c r="J19" s="8">
        <v>89</v>
      </c>
      <c r="K19" s="8">
        <v>22</v>
      </c>
      <c r="L19" s="8">
        <v>17</v>
      </c>
      <c r="M19" s="8">
        <v>168</v>
      </c>
      <c r="N19" s="8">
        <v>465</v>
      </c>
      <c r="O19" s="8">
        <v>761</v>
      </c>
      <c r="Q19" s="6" t="s">
        <v>33</v>
      </c>
      <c r="R19" s="5">
        <v>414893</v>
      </c>
      <c r="S19" s="5">
        <v>509863</v>
      </c>
      <c r="T19" s="5">
        <v>421147</v>
      </c>
      <c r="U19" s="5">
        <v>440570</v>
      </c>
      <c r="V19" s="5">
        <v>399017</v>
      </c>
      <c r="W19" s="5">
        <v>437098</v>
      </c>
    </row>
    <row r="20" spans="1:23" x14ac:dyDescent="0.2">
      <c r="A20" s="6" t="s">
        <v>34</v>
      </c>
      <c r="B20" s="8">
        <v>86</v>
      </c>
      <c r="C20" s="8">
        <v>12</v>
      </c>
      <c r="D20" s="8">
        <v>23</v>
      </c>
      <c r="E20" s="8">
        <v>208</v>
      </c>
      <c r="F20" s="8">
        <v>478</v>
      </c>
      <c r="G20" s="8">
        <v>161.4</v>
      </c>
      <c r="I20" s="4" t="s">
        <v>30</v>
      </c>
      <c r="J20" s="8">
        <v>1964</v>
      </c>
      <c r="K20" s="8">
        <v>378</v>
      </c>
      <c r="L20" s="8">
        <v>375</v>
      </c>
      <c r="M20" s="8">
        <v>3368</v>
      </c>
      <c r="N20" s="8">
        <v>7238</v>
      </c>
      <c r="O20" s="8">
        <v>13323</v>
      </c>
      <c r="Q20" s="4" t="s">
        <v>30</v>
      </c>
      <c r="R20" s="5">
        <v>401862.78947368421</v>
      </c>
      <c r="S20" s="5">
        <v>508781.28947368421</v>
      </c>
      <c r="T20" s="5">
        <v>423455.10526315792</v>
      </c>
      <c r="U20" s="5">
        <v>472103.57894736843</v>
      </c>
      <c r="V20" s="5">
        <v>402098.36842105264</v>
      </c>
      <c r="W20" s="5">
        <v>441660.22631578945</v>
      </c>
    </row>
    <row r="21" spans="1:23" x14ac:dyDescent="0.2">
      <c r="A21" s="4" t="s">
        <v>30</v>
      </c>
      <c r="B21" s="8">
        <v>92.921052631578945</v>
      </c>
      <c r="C21" s="8">
        <v>19.184210526315791</v>
      </c>
      <c r="D21" s="8">
        <v>20.421052631578949</v>
      </c>
      <c r="E21" s="8">
        <v>191.86842105263159</v>
      </c>
      <c r="F21" s="8">
        <v>403.65789473684208</v>
      </c>
      <c r="G21" s="8">
        <v>145.61052631578949</v>
      </c>
    </row>
    <row r="26" spans="1:23" x14ac:dyDescent="0.2">
      <c r="I26" s="3" t="s">
        <v>37</v>
      </c>
      <c r="J26" s="3" t="s">
        <v>31</v>
      </c>
    </row>
    <row r="27" spans="1:23" x14ac:dyDescent="0.2">
      <c r="I27" s="3" t="s">
        <v>29</v>
      </c>
      <c r="J27" t="s">
        <v>2</v>
      </c>
      <c r="K27" t="s">
        <v>4</v>
      </c>
      <c r="L27" t="s">
        <v>3</v>
      </c>
      <c r="M27" t="s">
        <v>1</v>
      </c>
      <c r="N27" t="s">
        <v>0</v>
      </c>
      <c r="O27" t="s">
        <v>30</v>
      </c>
    </row>
    <row r="28" spans="1:23" x14ac:dyDescent="0.2">
      <c r="A28" s="3" t="s">
        <v>39</v>
      </c>
      <c r="B28" s="3" t="s">
        <v>31</v>
      </c>
      <c r="I28" s="4" t="s">
        <v>26</v>
      </c>
      <c r="J28" s="8">
        <v>19.3</v>
      </c>
      <c r="K28" s="8">
        <v>21.9</v>
      </c>
      <c r="L28" s="8">
        <v>25.2</v>
      </c>
      <c r="M28" s="8">
        <v>33.200000000000003</v>
      </c>
      <c r="N28" s="8">
        <v>30.9</v>
      </c>
      <c r="O28" s="8">
        <v>26.1</v>
      </c>
    </row>
    <row r="29" spans="1:23" x14ac:dyDescent="0.2">
      <c r="A29" s="3" t="s">
        <v>29</v>
      </c>
      <c r="B29" t="s">
        <v>2</v>
      </c>
      <c r="C29" t="s">
        <v>4</v>
      </c>
      <c r="D29" t="s">
        <v>3</v>
      </c>
      <c r="E29" t="s">
        <v>1</v>
      </c>
      <c r="F29" t="s">
        <v>0</v>
      </c>
      <c r="G29" t="s">
        <v>30</v>
      </c>
      <c r="I29" s="6" t="s">
        <v>33</v>
      </c>
      <c r="J29" s="8">
        <v>44</v>
      </c>
      <c r="K29" s="8">
        <v>35</v>
      </c>
      <c r="L29" s="8">
        <v>25</v>
      </c>
      <c r="M29" s="8">
        <v>57</v>
      </c>
      <c r="N29" s="8">
        <v>42</v>
      </c>
      <c r="O29" s="8">
        <v>40.6</v>
      </c>
    </row>
    <row r="30" spans="1:23" x14ac:dyDescent="0.2">
      <c r="A30" s="4">
        <v>2023</v>
      </c>
      <c r="B30" s="7">
        <v>-1.6191666666666666</v>
      </c>
      <c r="C30" s="7">
        <v>2.7600000000000002</v>
      </c>
      <c r="D30" s="7">
        <v>9.8575000000000017</v>
      </c>
      <c r="E30" s="7">
        <v>3.5749999999999997</v>
      </c>
      <c r="F30" s="7">
        <v>2.5674999999999999</v>
      </c>
      <c r="G30" s="7">
        <v>3.4281666666666677</v>
      </c>
      <c r="I30" s="6" t="s">
        <v>34</v>
      </c>
      <c r="J30" s="8">
        <v>13.333333333333334</v>
      </c>
      <c r="K30" s="8">
        <v>25.333333333333332</v>
      </c>
      <c r="L30" s="8">
        <v>37.333333333333336</v>
      </c>
      <c r="M30" s="8">
        <v>32</v>
      </c>
      <c r="N30" s="8">
        <v>36.666666666666664</v>
      </c>
      <c r="O30" s="8">
        <v>28.933333333333334</v>
      </c>
    </row>
    <row r="31" spans="1:23" x14ac:dyDescent="0.2">
      <c r="A31" s="4">
        <v>2024</v>
      </c>
      <c r="B31" s="7">
        <v>5.8874999999999993</v>
      </c>
      <c r="C31" s="7">
        <v>14.853333333333332</v>
      </c>
      <c r="D31" s="7">
        <v>-0.68833333333333224</v>
      </c>
      <c r="E31" s="7">
        <v>0.84833333333333327</v>
      </c>
      <c r="F31" s="7">
        <v>3.3591666666666669</v>
      </c>
      <c r="G31" s="7">
        <v>4.8519999999999994</v>
      </c>
      <c r="I31" s="6" t="s">
        <v>35</v>
      </c>
      <c r="J31" s="8">
        <v>16.333333333333332</v>
      </c>
      <c r="K31" s="8">
        <v>14.333333333333334</v>
      </c>
      <c r="L31" s="8">
        <v>9.3333333333333339</v>
      </c>
      <c r="M31" s="8">
        <v>23.666666666666668</v>
      </c>
      <c r="N31" s="8">
        <v>25</v>
      </c>
      <c r="O31" s="8">
        <v>17.733333333333334</v>
      </c>
    </row>
    <row r="32" spans="1:23" x14ac:dyDescent="0.2">
      <c r="A32" s="4">
        <v>2025</v>
      </c>
      <c r="B32" s="7">
        <v>5.7974999999999994</v>
      </c>
      <c r="C32" s="7">
        <v>-3.2808333333333333</v>
      </c>
      <c r="D32" s="7">
        <v>4.8408333333333333</v>
      </c>
      <c r="E32" s="7">
        <v>0.1433333333333334</v>
      </c>
      <c r="F32" s="7">
        <v>0.92583333333333329</v>
      </c>
      <c r="G32" s="7">
        <v>1.6853333333333329</v>
      </c>
      <c r="I32" s="6" t="s">
        <v>36</v>
      </c>
      <c r="J32" s="8">
        <v>20</v>
      </c>
      <c r="K32" s="8">
        <v>21.666666666666668</v>
      </c>
      <c r="L32" s="8">
        <v>29</v>
      </c>
      <c r="M32" s="8">
        <v>36</v>
      </c>
      <c r="N32" s="8">
        <v>27.333333333333332</v>
      </c>
      <c r="O32" s="8">
        <v>26.8</v>
      </c>
    </row>
    <row r="33" spans="1:15" x14ac:dyDescent="0.2">
      <c r="A33" s="4">
        <v>2026</v>
      </c>
      <c r="B33" s="7">
        <v>1.47</v>
      </c>
      <c r="C33" s="7">
        <v>-9.125</v>
      </c>
      <c r="D33" s="7">
        <v>3.5000000000000142E-2</v>
      </c>
      <c r="E33" s="7">
        <v>-6.6749999999999998</v>
      </c>
      <c r="F33" s="7">
        <v>-2.3650000000000002</v>
      </c>
      <c r="G33" s="7">
        <v>-3.3319999999999994</v>
      </c>
      <c r="I33" s="4" t="s">
        <v>25</v>
      </c>
      <c r="J33" s="8">
        <v>24.416666666666668</v>
      </c>
      <c r="K33" s="8">
        <v>30.5</v>
      </c>
      <c r="L33" s="8">
        <v>27.083333333333332</v>
      </c>
      <c r="M33" s="8">
        <v>33.083333333333336</v>
      </c>
      <c r="N33" s="8">
        <v>33.916666666666664</v>
      </c>
      <c r="O33" s="8">
        <v>29.8</v>
      </c>
    </row>
    <row r="34" spans="1:15" x14ac:dyDescent="0.2">
      <c r="A34" s="4" t="s">
        <v>30</v>
      </c>
      <c r="B34" s="7">
        <v>3.2560526315789473</v>
      </c>
      <c r="C34" s="7">
        <v>4.045789473684211</v>
      </c>
      <c r="D34" s="7">
        <v>4.4260526315789486</v>
      </c>
      <c r="E34" s="7">
        <v>1.0907894736842103</v>
      </c>
      <c r="F34" s="7">
        <v>2.0394736842105261</v>
      </c>
      <c r="G34" s="7">
        <v>2.9716315789473677</v>
      </c>
      <c r="I34" s="6" t="s">
        <v>33</v>
      </c>
      <c r="J34" s="8">
        <v>21.666666666666668</v>
      </c>
      <c r="K34" s="8">
        <v>51</v>
      </c>
      <c r="L34" s="8">
        <v>52.333333333333336</v>
      </c>
      <c r="M34" s="8">
        <v>45.333333333333336</v>
      </c>
      <c r="N34" s="8">
        <v>40</v>
      </c>
      <c r="O34" s="8">
        <v>42.06666666666667</v>
      </c>
    </row>
    <row r="35" spans="1:15" x14ac:dyDescent="0.2">
      <c r="I35" s="6" t="s">
        <v>34</v>
      </c>
      <c r="J35" s="8">
        <v>15</v>
      </c>
      <c r="K35" s="8">
        <v>26.333333333333332</v>
      </c>
      <c r="L35" s="8">
        <v>15.333333333333334</v>
      </c>
      <c r="M35" s="8">
        <v>25.666666666666668</v>
      </c>
      <c r="N35" s="8">
        <v>26.333333333333332</v>
      </c>
      <c r="O35" s="8">
        <v>21.733333333333334</v>
      </c>
    </row>
    <row r="36" spans="1:15" x14ac:dyDescent="0.2">
      <c r="I36" s="6" t="s">
        <v>35</v>
      </c>
      <c r="J36" s="8">
        <v>31.666666666666668</v>
      </c>
      <c r="K36" s="8">
        <v>25</v>
      </c>
      <c r="L36" s="8">
        <v>22</v>
      </c>
      <c r="M36" s="8">
        <v>31.333333333333332</v>
      </c>
      <c r="N36" s="8">
        <v>24.666666666666668</v>
      </c>
      <c r="O36" s="8">
        <v>26.933333333333334</v>
      </c>
    </row>
    <row r="37" spans="1:15" x14ac:dyDescent="0.2">
      <c r="I37" s="6" t="s">
        <v>36</v>
      </c>
      <c r="J37" s="8">
        <v>29.333333333333332</v>
      </c>
      <c r="K37" s="8">
        <v>19.666666666666668</v>
      </c>
      <c r="L37" s="8">
        <v>18.666666666666668</v>
      </c>
      <c r="M37" s="8">
        <v>30</v>
      </c>
      <c r="N37" s="8">
        <v>44.666666666666664</v>
      </c>
      <c r="O37" s="8">
        <v>28.466666666666665</v>
      </c>
    </row>
    <row r="38" spans="1:15" x14ac:dyDescent="0.2">
      <c r="I38" s="4" t="s">
        <v>27</v>
      </c>
      <c r="J38" s="8">
        <v>34.25</v>
      </c>
      <c r="K38" s="8">
        <v>38.583333333333336</v>
      </c>
      <c r="L38" s="8">
        <v>24.666666666666668</v>
      </c>
      <c r="M38" s="8">
        <v>39</v>
      </c>
      <c r="N38" s="8">
        <v>48</v>
      </c>
      <c r="O38" s="8">
        <v>36.9</v>
      </c>
    </row>
    <row r="39" spans="1:15" x14ac:dyDescent="0.2">
      <c r="I39" s="6" t="s">
        <v>33</v>
      </c>
      <c r="J39" s="8">
        <v>38</v>
      </c>
      <c r="K39" s="8">
        <v>27.666666666666668</v>
      </c>
      <c r="L39" s="8">
        <v>22.333333333333332</v>
      </c>
      <c r="M39" s="8">
        <v>40.666666666666664</v>
      </c>
      <c r="N39" s="8">
        <v>54</v>
      </c>
      <c r="O39" s="8">
        <v>36.533333333333331</v>
      </c>
    </row>
    <row r="40" spans="1:15" x14ac:dyDescent="0.2">
      <c r="I40" s="6" t="s">
        <v>34</v>
      </c>
      <c r="J40" s="8">
        <v>25.333333333333332</v>
      </c>
      <c r="K40" s="8">
        <v>41.333333333333336</v>
      </c>
      <c r="L40" s="8">
        <v>24</v>
      </c>
      <c r="M40" s="8">
        <v>34</v>
      </c>
      <c r="N40" s="8">
        <v>37.333333333333336</v>
      </c>
      <c r="O40" s="8">
        <v>32.4</v>
      </c>
    </row>
    <row r="41" spans="1:15" x14ac:dyDescent="0.2">
      <c r="I41" s="6" t="s">
        <v>35</v>
      </c>
      <c r="J41" s="8">
        <v>30.666666666666668</v>
      </c>
      <c r="K41" s="8">
        <v>72</v>
      </c>
      <c r="L41" s="8">
        <v>25</v>
      </c>
      <c r="M41" s="8">
        <v>35.666666666666664</v>
      </c>
      <c r="N41" s="8">
        <v>44</v>
      </c>
      <c r="O41" s="8">
        <v>41.466666666666669</v>
      </c>
    </row>
    <row r="42" spans="1:15" x14ac:dyDescent="0.2">
      <c r="I42" s="6" t="s">
        <v>36</v>
      </c>
      <c r="J42" s="8">
        <v>43</v>
      </c>
      <c r="K42" s="8">
        <v>13.333333333333334</v>
      </c>
      <c r="L42" s="8">
        <v>27.333333333333332</v>
      </c>
      <c r="M42" s="8">
        <v>45.666666666666664</v>
      </c>
      <c r="N42" s="8">
        <v>56.666666666666664</v>
      </c>
      <c r="O42" s="8">
        <v>37.200000000000003</v>
      </c>
    </row>
    <row r="43" spans="1:15" x14ac:dyDescent="0.2">
      <c r="I43" s="4" t="s">
        <v>28</v>
      </c>
      <c r="J43" s="8">
        <v>27.75</v>
      </c>
      <c r="K43" s="8">
        <v>58</v>
      </c>
      <c r="L43" s="8">
        <v>72.75</v>
      </c>
      <c r="M43" s="8">
        <v>40.75</v>
      </c>
      <c r="N43" s="8">
        <v>44.5</v>
      </c>
      <c r="O43" s="8">
        <v>48.75</v>
      </c>
    </row>
    <row r="44" spans="1:15" x14ac:dyDescent="0.2">
      <c r="I44" s="6" t="s">
        <v>33</v>
      </c>
      <c r="J44" s="8">
        <v>27.333333333333332</v>
      </c>
      <c r="K44" s="8">
        <v>42.666666666666664</v>
      </c>
      <c r="L44" s="8">
        <v>85</v>
      </c>
      <c r="M44" s="8">
        <v>41</v>
      </c>
      <c r="N44" s="8">
        <v>46.333333333333336</v>
      </c>
      <c r="O44" s="8">
        <v>48.466666666666669</v>
      </c>
    </row>
    <row r="45" spans="1:15" x14ac:dyDescent="0.2">
      <c r="I45" s="6" t="s">
        <v>34</v>
      </c>
      <c r="J45" s="8">
        <v>29</v>
      </c>
      <c r="K45" s="8">
        <v>104</v>
      </c>
      <c r="L45" s="8">
        <v>36</v>
      </c>
      <c r="M45" s="8">
        <v>40</v>
      </c>
      <c r="N45" s="8">
        <v>39</v>
      </c>
      <c r="O45" s="8">
        <v>49.6</v>
      </c>
    </row>
    <row r="46" spans="1:15" x14ac:dyDescent="0.2">
      <c r="I46" s="4" t="s">
        <v>30</v>
      </c>
      <c r="J46" s="8">
        <v>26.526315789473685</v>
      </c>
      <c r="K46" s="8">
        <v>33.684210526315788</v>
      </c>
      <c r="L46" s="8">
        <v>30.631578947368421</v>
      </c>
      <c r="M46" s="8">
        <v>35.789473684210527</v>
      </c>
      <c r="N46" s="8">
        <v>38.684210526315788</v>
      </c>
      <c r="O46" s="8">
        <v>33.06315789473684</v>
      </c>
    </row>
  </sheetData>
  <conditionalFormatting sqref="B2:E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49BB-E808-7842-944F-37146AF6092C}">
  <dimension ref="A1:S193"/>
  <sheetViews>
    <sheetView workbookViewId="0">
      <selection activeCell="A3" sqref="A3:S193"/>
    </sheetView>
  </sheetViews>
  <sheetFormatPr baseColWidth="10" defaultRowHeight="16" x14ac:dyDescent="0.2"/>
  <cols>
    <col min="1" max="1" width="14.5" bestFit="1" customWidth="1"/>
    <col min="2" max="2" width="12.83203125" bestFit="1" customWidth="1"/>
    <col min="3" max="5" width="11" bestFit="1" customWidth="1"/>
    <col min="6" max="6" width="14.33203125" bestFit="1" customWidth="1"/>
    <col min="7" max="7" width="11" bestFit="1" customWidth="1"/>
    <col min="8" max="8" width="14" bestFit="1" customWidth="1"/>
    <col min="9" max="9" width="22" bestFit="1" customWidth="1"/>
    <col min="10" max="10" width="19.33203125" bestFit="1" customWidth="1"/>
    <col min="11" max="11" width="27.33203125" bestFit="1" customWidth="1"/>
    <col min="12" max="12" width="24.83203125" bestFit="1" customWidth="1"/>
    <col min="13" max="13" width="32.83203125" bestFit="1" customWidth="1"/>
    <col min="14" max="14" width="14.83203125" bestFit="1" customWidth="1"/>
    <col min="15" max="15" width="22.83203125" bestFit="1" customWidth="1"/>
    <col min="16" max="16" width="16.33203125" bestFit="1" customWidth="1"/>
    <col min="17" max="17" width="24.5" bestFit="1" customWidth="1"/>
    <col min="18" max="18" width="15.6640625" bestFit="1" customWidth="1"/>
    <col min="19" max="19" width="23.6640625" bestFit="1" customWidth="1"/>
  </cols>
  <sheetData>
    <row r="1" spans="1:19" x14ac:dyDescent="0.2">
      <c r="A1" s="23" t="s">
        <v>69</v>
      </c>
    </row>
    <row r="3" spans="1:19" x14ac:dyDescent="0.2">
      <c r="A3" t="s">
        <v>10</v>
      </c>
      <c r="B3" t="s">
        <v>11</v>
      </c>
      <c r="C3" t="s">
        <v>7</v>
      </c>
      <c r="D3" t="s">
        <v>8</v>
      </c>
      <c r="E3" t="s">
        <v>9</v>
      </c>
      <c r="F3" t="s">
        <v>12</v>
      </c>
      <c r="G3" t="s">
        <v>6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</row>
    <row r="4" spans="1:19" x14ac:dyDescent="0.2">
      <c r="A4" s="1">
        <v>44927</v>
      </c>
      <c r="B4" s="1">
        <v>45016</v>
      </c>
      <c r="C4">
        <v>2023</v>
      </c>
      <c r="D4">
        <v>1</v>
      </c>
      <c r="E4">
        <v>1</v>
      </c>
      <c r="F4" t="s">
        <v>5</v>
      </c>
      <c r="G4" t="s">
        <v>2</v>
      </c>
      <c r="H4">
        <v>36</v>
      </c>
      <c r="I4">
        <v>-55.56</v>
      </c>
      <c r="J4">
        <v>356750</v>
      </c>
      <c r="K4">
        <v>-12.46</v>
      </c>
      <c r="L4">
        <v>44</v>
      </c>
      <c r="M4">
        <v>3050</v>
      </c>
      <c r="N4">
        <v>43</v>
      </c>
      <c r="O4">
        <v>-56.12</v>
      </c>
      <c r="P4">
        <v>70</v>
      </c>
      <c r="Q4">
        <v>-41.18</v>
      </c>
      <c r="R4">
        <v>53</v>
      </c>
      <c r="S4">
        <v>-39.08</v>
      </c>
    </row>
    <row r="5" spans="1:19" x14ac:dyDescent="0.2">
      <c r="A5" s="1">
        <v>44927</v>
      </c>
      <c r="B5" s="1">
        <v>45016</v>
      </c>
      <c r="C5">
        <v>2023</v>
      </c>
      <c r="D5">
        <v>1</v>
      </c>
      <c r="E5">
        <v>1</v>
      </c>
      <c r="F5" t="s">
        <v>5</v>
      </c>
      <c r="G5" t="s">
        <v>4</v>
      </c>
      <c r="H5">
        <v>7</v>
      </c>
      <c r="I5">
        <v>-56.25</v>
      </c>
      <c r="J5">
        <v>520000</v>
      </c>
      <c r="K5">
        <v>17.510000000000002</v>
      </c>
      <c r="L5">
        <v>35</v>
      </c>
      <c r="M5">
        <v>1050</v>
      </c>
      <c r="N5">
        <v>11</v>
      </c>
      <c r="O5">
        <v>-26.67</v>
      </c>
      <c r="P5">
        <v>17</v>
      </c>
      <c r="Q5">
        <v>-10.53</v>
      </c>
      <c r="R5">
        <v>13</v>
      </c>
      <c r="S5">
        <v>-18.75</v>
      </c>
    </row>
    <row r="6" spans="1:19" x14ac:dyDescent="0.2">
      <c r="A6" s="1">
        <v>44927</v>
      </c>
      <c r="B6" s="1">
        <v>45016</v>
      </c>
      <c r="C6">
        <v>2023</v>
      </c>
      <c r="D6">
        <v>1</v>
      </c>
      <c r="E6">
        <v>1</v>
      </c>
      <c r="F6" t="s">
        <v>5</v>
      </c>
      <c r="G6" t="s">
        <v>3</v>
      </c>
      <c r="H6">
        <v>10</v>
      </c>
      <c r="I6">
        <v>-37.5</v>
      </c>
      <c r="J6">
        <v>343500</v>
      </c>
      <c r="K6">
        <v>-20.62</v>
      </c>
      <c r="L6">
        <v>25</v>
      </c>
      <c r="M6">
        <v>1650</v>
      </c>
      <c r="N6">
        <v>6</v>
      </c>
      <c r="O6">
        <v>-79.31</v>
      </c>
      <c r="P6">
        <v>11</v>
      </c>
      <c r="Q6">
        <v>-65.63</v>
      </c>
      <c r="R6">
        <v>9</v>
      </c>
      <c r="S6">
        <v>-62.5</v>
      </c>
    </row>
    <row r="7" spans="1:19" x14ac:dyDescent="0.2">
      <c r="A7" s="1">
        <v>44927</v>
      </c>
      <c r="B7" s="1">
        <v>45016</v>
      </c>
      <c r="C7">
        <v>2023</v>
      </c>
      <c r="D7">
        <v>1</v>
      </c>
      <c r="E7">
        <v>1</v>
      </c>
      <c r="F7" t="s">
        <v>5</v>
      </c>
      <c r="G7" t="s">
        <v>1</v>
      </c>
      <c r="H7">
        <v>76</v>
      </c>
      <c r="I7">
        <v>-29.63</v>
      </c>
      <c r="J7">
        <v>450000</v>
      </c>
      <c r="K7">
        <v>2.16</v>
      </c>
      <c r="L7">
        <v>57</v>
      </c>
      <c r="M7">
        <v>3850</v>
      </c>
      <c r="N7">
        <v>90</v>
      </c>
      <c r="O7">
        <v>-36.619999999999997</v>
      </c>
      <c r="P7">
        <v>177</v>
      </c>
      <c r="Q7">
        <v>-5.85</v>
      </c>
      <c r="R7">
        <v>107</v>
      </c>
      <c r="S7">
        <v>-24.11</v>
      </c>
    </row>
    <row r="8" spans="1:19" x14ac:dyDescent="0.2">
      <c r="A8" s="1">
        <v>44927</v>
      </c>
      <c r="B8" s="1">
        <v>45016</v>
      </c>
      <c r="C8">
        <v>2023</v>
      </c>
      <c r="D8">
        <v>1</v>
      </c>
      <c r="E8">
        <v>1</v>
      </c>
      <c r="F8" t="s">
        <v>5</v>
      </c>
      <c r="G8" t="s">
        <v>0</v>
      </c>
      <c r="H8">
        <v>108</v>
      </c>
      <c r="I8">
        <v>-52.42</v>
      </c>
      <c r="J8">
        <v>385000</v>
      </c>
      <c r="K8">
        <v>0.52</v>
      </c>
      <c r="L8">
        <v>42</v>
      </c>
      <c r="M8">
        <v>2650</v>
      </c>
      <c r="N8">
        <v>160</v>
      </c>
      <c r="O8">
        <v>-36</v>
      </c>
      <c r="P8">
        <v>278</v>
      </c>
      <c r="Q8">
        <v>-12.58</v>
      </c>
      <c r="R8">
        <v>157</v>
      </c>
      <c r="S8">
        <v>-32.03</v>
      </c>
    </row>
    <row r="9" spans="1:19" x14ac:dyDescent="0.2">
      <c r="A9" s="1">
        <v>44958</v>
      </c>
      <c r="B9" s="1">
        <v>45046</v>
      </c>
      <c r="C9">
        <v>2023</v>
      </c>
      <c r="D9">
        <v>2</v>
      </c>
      <c r="E9">
        <v>1</v>
      </c>
      <c r="F9" t="s">
        <v>5</v>
      </c>
      <c r="G9" t="s">
        <v>2</v>
      </c>
      <c r="H9">
        <v>46</v>
      </c>
      <c r="I9">
        <v>-48.31</v>
      </c>
      <c r="J9">
        <v>363250</v>
      </c>
      <c r="K9">
        <v>-12.47</v>
      </c>
      <c r="L9">
        <v>18</v>
      </c>
      <c r="M9">
        <v>700</v>
      </c>
      <c r="N9">
        <v>53</v>
      </c>
      <c r="O9">
        <v>-47.52</v>
      </c>
      <c r="P9">
        <v>73</v>
      </c>
      <c r="Q9">
        <v>-38.659999999999997</v>
      </c>
      <c r="R9">
        <v>62</v>
      </c>
      <c r="S9">
        <v>-28.74</v>
      </c>
    </row>
    <row r="10" spans="1:19" x14ac:dyDescent="0.2">
      <c r="A10" s="1">
        <v>44958</v>
      </c>
      <c r="B10" s="1">
        <v>45046</v>
      </c>
      <c r="C10">
        <v>2023</v>
      </c>
      <c r="D10">
        <v>2</v>
      </c>
      <c r="E10">
        <v>1</v>
      </c>
      <c r="F10" t="s">
        <v>5</v>
      </c>
      <c r="G10" t="s">
        <v>4</v>
      </c>
      <c r="H10">
        <v>7</v>
      </c>
      <c r="I10">
        <v>-61.11</v>
      </c>
      <c r="J10">
        <v>470000</v>
      </c>
      <c r="K10">
        <v>2.62</v>
      </c>
      <c r="L10">
        <v>52</v>
      </c>
      <c r="M10">
        <v>2700</v>
      </c>
      <c r="N10">
        <v>11</v>
      </c>
      <c r="O10">
        <v>-31.25</v>
      </c>
      <c r="P10">
        <v>18</v>
      </c>
      <c r="Q10">
        <v>0</v>
      </c>
      <c r="R10">
        <v>14</v>
      </c>
      <c r="S10">
        <v>16.670000000000002</v>
      </c>
    </row>
    <row r="11" spans="1:19" x14ac:dyDescent="0.2">
      <c r="A11" s="1">
        <v>44958</v>
      </c>
      <c r="B11" s="1">
        <v>45046</v>
      </c>
      <c r="C11">
        <v>2023</v>
      </c>
      <c r="D11">
        <v>2</v>
      </c>
      <c r="E11">
        <v>1</v>
      </c>
      <c r="F11" t="s">
        <v>5</v>
      </c>
      <c r="G11" t="s">
        <v>3</v>
      </c>
      <c r="H11">
        <v>7</v>
      </c>
      <c r="I11">
        <v>-61.11</v>
      </c>
      <c r="J11">
        <v>365000</v>
      </c>
      <c r="K11">
        <v>-15.66</v>
      </c>
      <c r="L11">
        <v>18</v>
      </c>
      <c r="M11">
        <v>1000</v>
      </c>
      <c r="N11">
        <v>6</v>
      </c>
      <c r="O11">
        <v>-81.819999999999993</v>
      </c>
      <c r="P11">
        <v>12</v>
      </c>
      <c r="Q11">
        <v>-65.709999999999994</v>
      </c>
      <c r="R11">
        <v>9</v>
      </c>
      <c r="S11">
        <v>-67.86</v>
      </c>
    </row>
    <row r="12" spans="1:19" x14ac:dyDescent="0.2">
      <c r="A12" s="1">
        <v>44958</v>
      </c>
      <c r="B12" s="1">
        <v>45046</v>
      </c>
      <c r="C12">
        <v>2023</v>
      </c>
      <c r="D12">
        <v>2</v>
      </c>
      <c r="E12">
        <v>1</v>
      </c>
      <c r="F12" t="s">
        <v>5</v>
      </c>
      <c r="G12" t="s">
        <v>1</v>
      </c>
      <c r="H12">
        <v>93</v>
      </c>
      <c r="I12">
        <v>-27.91</v>
      </c>
      <c r="J12">
        <v>456250</v>
      </c>
      <c r="K12">
        <v>0.83</v>
      </c>
      <c r="L12">
        <v>42</v>
      </c>
      <c r="M12">
        <v>2900</v>
      </c>
      <c r="N12">
        <v>112</v>
      </c>
      <c r="O12">
        <v>-32.93</v>
      </c>
      <c r="P12">
        <v>194</v>
      </c>
      <c r="Q12">
        <v>-5.83</v>
      </c>
      <c r="R12">
        <v>126</v>
      </c>
      <c r="S12">
        <v>-14.86</v>
      </c>
    </row>
    <row r="13" spans="1:19" x14ac:dyDescent="0.2">
      <c r="A13" s="1">
        <v>44958</v>
      </c>
      <c r="B13" s="1">
        <v>45046</v>
      </c>
      <c r="C13">
        <v>2023</v>
      </c>
      <c r="D13">
        <v>2</v>
      </c>
      <c r="E13">
        <v>1</v>
      </c>
      <c r="F13" t="s">
        <v>5</v>
      </c>
      <c r="G13" t="s">
        <v>0</v>
      </c>
      <c r="H13">
        <v>135</v>
      </c>
      <c r="I13">
        <v>-42.31</v>
      </c>
      <c r="J13">
        <v>379495</v>
      </c>
      <c r="K13">
        <v>-0.92</v>
      </c>
      <c r="L13">
        <v>40</v>
      </c>
      <c r="M13">
        <v>2700</v>
      </c>
      <c r="N13">
        <v>193</v>
      </c>
      <c r="O13">
        <v>-36.72</v>
      </c>
      <c r="P13">
        <v>304</v>
      </c>
      <c r="Q13">
        <v>-20</v>
      </c>
      <c r="R13">
        <v>185</v>
      </c>
      <c r="S13">
        <v>-29.92</v>
      </c>
    </row>
    <row r="14" spans="1:19" x14ac:dyDescent="0.2">
      <c r="A14" s="1">
        <v>44986</v>
      </c>
      <c r="B14" s="1">
        <v>45077</v>
      </c>
      <c r="C14">
        <v>2023</v>
      </c>
      <c r="D14">
        <v>3</v>
      </c>
      <c r="E14">
        <v>1</v>
      </c>
      <c r="F14" t="s">
        <v>5</v>
      </c>
      <c r="G14" t="s">
        <v>2</v>
      </c>
      <c r="H14">
        <v>61</v>
      </c>
      <c r="I14">
        <v>-33.700000000000003</v>
      </c>
      <c r="J14">
        <v>375000</v>
      </c>
      <c r="K14">
        <v>-9.74</v>
      </c>
      <c r="L14">
        <v>12</v>
      </c>
      <c r="M14">
        <v>50</v>
      </c>
      <c r="N14">
        <v>65</v>
      </c>
      <c r="O14">
        <v>-40.909999999999997</v>
      </c>
      <c r="P14">
        <v>83</v>
      </c>
      <c r="Q14">
        <v>-38.06</v>
      </c>
      <c r="R14">
        <v>70</v>
      </c>
      <c r="S14">
        <v>-28.57</v>
      </c>
    </row>
    <row r="15" spans="1:19" x14ac:dyDescent="0.2">
      <c r="A15" s="1">
        <v>44986</v>
      </c>
      <c r="B15" s="1">
        <v>45077</v>
      </c>
      <c r="C15">
        <v>2023</v>
      </c>
      <c r="D15">
        <v>3</v>
      </c>
      <c r="E15">
        <v>1</v>
      </c>
      <c r="F15" t="s">
        <v>5</v>
      </c>
      <c r="G15" t="s">
        <v>4</v>
      </c>
      <c r="H15">
        <v>13</v>
      </c>
      <c r="I15">
        <v>62.5</v>
      </c>
      <c r="J15">
        <v>500000</v>
      </c>
      <c r="K15">
        <v>6.84</v>
      </c>
      <c r="L15">
        <v>14</v>
      </c>
      <c r="M15">
        <v>-350</v>
      </c>
      <c r="N15">
        <v>20</v>
      </c>
      <c r="O15">
        <v>33.33</v>
      </c>
      <c r="P15">
        <v>28</v>
      </c>
      <c r="Q15">
        <v>75</v>
      </c>
      <c r="R15">
        <v>21</v>
      </c>
      <c r="S15">
        <v>162.5</v>
      </c>
    </row>
    <row r="16" spans="1:19" x14ac:dyDescent="0.2">
      <c r="A16" s="1">
        <v>44986</v>
      </c>
      <c r="B16" s="1">
        <v>45077</v>
      </c>
      <c r="C16">
        <v>2023</v>
      </c>
      <c r="D16">
        <v>3</v>
      </c>
      <c r="E16">
        <v>1</v>
      </c>
      <c r="F16" t="s">
        <v>5</v>
      </c>
      <c r="G16" t="s">
        <v>3</v>
      </c>
      <c r="H16">
        <v>10</v>
      </c>
      <c r="I16">
        <v>-52.38</v>
      </c>
      <c r="J16">
        <v>380500</v>
      </c>
      <c r="K16">
        <v>-5.58</v>
      </c>
      <c r="L16">
        <v>18</v>
      </c>
      <c r="M16">
        <v>950</v>
      </c>
      <c r="N16">
        <v>6</v>
      </c>
      <c r="O16">
        <v>-75</v>
      </c>
      <c r="P16">
        <v>10</v>
      </c>
      <c r="Q16">
        <v>-70.59</v>
      </c>
      <c r="R16">
        <v>8</v>
      </c>
      <c r="S16">
        <v>-68</v>
      </c>
    </row>
    <row r="17" spans="1:19" x14ac:dyDescent="0.2">
      <c r="A17" s="1">
        <v>44986</v>
      </c>
      <c r="B17" s="1">
        <v>45077</v>
      </c>
      <c r="C17">
        <v>2023</v>
      </c>
      <c r="D17">
        <v>3</v>
      </c>
      <c r="E17">
        <v>1</v>
      </c>
      <c r="F17" t="s">
        <v>5</v>
      </c>
      <c r="G17" t="s">
        <v>1</v>
      </c>
      <c r="H17">
        <v>110</v>
      </c>
      <c r="I17">
        <v>-26.17</v>
      </c>
      <c r="J17">
        <v>460000</v>
      </c>
      <c r="K17">
        <v>0</v>
      </c>
      <c r="L17">
        <v>31</v>
      </c>
      <c r="M17">
        <v>1700</v>
      </c>
      <c r="N17">
        <v>114</v>
      </c>
      <c r="O17">
        <v>-35.96</v>
      </c>
      <c r="P17">
        <v>192</v>
      </c>
      <c r="Q17">
        <v>-12.73</v>
      </c>
      <c r="R17">
        <v>127</v>
      </c>
      <c r="S17">
        <v>-11.81</v>
      </c>
    </row>
    <row r="18" spans="1:19" x14ac:dyDescent="0.2">
      <c r="A18" s="1">
        <v>44986</v>
      </c>
      <c r="B18" s="1">
        <v>45077</v>
      </c>
      <c r="C18">
        <v>2023</v>
      </c>
      <c r="D18">
        <v>3</v>
      </c>
      <c r="E18">
        <v>1</v>
      </c>
      <c r="F18" t="s">
        <v>5</v>
      </c>
      <c r="G18" t="s">
        <v>0</v>
      </c>
      <c r="H18">
        <v>160</v>
      </c>
      <c r="I18">
        <v>-34.43</v>
      </c>
      <c r="J18">
        <v>387000</v>
      </c>
      <c r="K18">
        <v>0.52</v>
      </c>
      <c r="L18">
        <v>37</v>
      </c>
      <c r="M18">
        <v>2400</v>
      </c>
      <c r="N18">
        <v>225</v>
      </c>
      <c r="O18">
        <v>-32.630000000000003</v>
      </c>
      <c r="P18">
        <v>339</v>
      </c>
      <c r="Q18">
        <v>-20.98</v>
      </c>
      <c r="R18">
        <v>215</v>
      </c>
      <c r="S18">
        <v>-25.61</v>
      </c>
    </row>
    <row r="19" spans="1:19" x14ac:dyDescent="0.2">
      <c r="A19" s="1">
        <v>45017</v>
      </c>
      <c r="B19" s="1">
        <v>45107</v>
      </c>
      <c r="C19">
        <v>2023</v>
      </c>
      <c r="D19">
        <v>4</v>
      </c>
      <c r="E19">
        <v>2</v>
      </c>
      <c r="F19" t="s">
        <v>5</v>
      </c>
      <c r="G19" t="s">
        <v>2</v>
      </c>
      <c r="H19">
        <v>62</v>
      </c>
      <c r="I19">
        <v>-27.91</v>
      </c>
      <c r="J19">
        <v>399000</v>
      </c>
      <c r="K19">
        <v>-3.96</v>
      </c>
      <c r="L19">
        <v>10</v>
      </c>
      <c r="M19">
        <v>-400</v>
      </c>
      <c r="N19">
        <v>66</v>
      </c>
      <c r="O19">
        <v>-25</v>
      </c>
      <c r="P19">
        <v>86</v>
      </c>
      <c r="Q19">
        <v>-32.28</v>
      </c>
      <c r="R19">
        <v>68</v>
      </c>
      <c r="S19">
        <v>-13.92</v>
      </c>
    </row>
    <row r="20" spans="1:19" x14ac:dyDescent="0.2">
      <c r="A20" s="1">
        <v>45017</v>
      </c>
      <c r="B20" s="1">
        <v>45107</v>
      </c>
      <c r="C20">
        <v>2023</v>
      </c>
      <c r="D20">
        <v>4</v>
      </c>
      <c r="E20">
        <v>2</v>
      </c>
      <c r="F20" t="s">
        <v>5</v>
      </c>
      <c r="G20" t="s">
        <v>4</v>
      </c>
      <c r="H20">
        <v>17</v>
      </c>
      <c r="I20">
        <v>70</v>
      </c>
      <c r="J20">
        <v>485000</v>
      </c>
      <c r="K20">
        <v>1.57</v>
      </c>
      <c r="L20">
        <v>10</v>
      </c>
      <c r="M20">
        <v>-1500</v>
      </c>
      <c r="N20">
        <v>26</v>
      </c>
      <c r="O20">
        <v>100</v>
      </c>
      <c r="P20">
        <v>34</v>
      </c>
      <c r="Q20">
        <v>88.89</v>
      </c>
      <c r="R20">
        <v>23</v>
      </c>
      <c r="S20">
        <v>187.5</v>
      </c>
    </row>
    <row r="21" spans="1:19" x14ac:dyDescent="0.2">
      <c r="A21" s="1">
        <v>45017</v>
      </c>
      <c r="B21" s="1">
        <v>45107</v>
      </c>
      <c r="C21">
        <v>2023</v>
      </c>
      <c r="D21">
        <v>4</v>
      </c>
      <c r="E21">
        <v>2</v>
      </c>
      <c r="F21" t="s">
        <v>5</v>
      </c>
      <c r="G21" t="s">
        <v>3</v>
      </c>
      <c r="H21">
        <v>6</v>
      </c>
      <c r="I21">
        <v>-71.430000000000007</v>
      </c>
      <c r="J21">
        <v>405500</v>
      </c>
      <c r="K21">
        <v>3.31</v>
      </c>
      <c r="L21">
        <v>76</v>
      </c>
      <c r="M21">
        <v>6150</v>
      </c>
      <c r="N21">
        <v>8</v>
      </c>
      <c r="O21">
        <v>-57.89</v>
      </c>
      <c r="P21">
        <v>12</v>
      </c>
      <c r="Q21">
        <v>-63.64</v>
      </c>
      <c r="R21">
        <v>9</v>
      </c>
      <c r="S21">
        <v>-55</v>
      </c>
    </row>
    <row r="22" spans="1:19" x14ac:dyDescent="0.2">
      <c r="A22" s="1">
        <v>45017</v>
      </c>
      <c r="B22" s="1">
        <v>45107</v>
      </c>
      <c r="C22">
        <v>2023</v>
      </c>
      <c r="D22">
        <v>4</v>
      </c>
      <c r="E22">
        <v>2</v>
      </c>
      <c r="F22" t="s">
        <v>5</v>
      </c>
      <c r="G22" t="s">
        <v>1</v>
      </c>
      <c r="H22">
        <v>100</v>
      </c>
      <c r="I22">
        <v>-24.24</v>
      </c>
      <c r="J22">
        <v>457750</v>
      </c>
      <c r="K22">
        <v>-4.6399999999999997</v>
      </c>
      <c r="L22">
        <v>23</v>
      </c>
      <c r="M22">
        <v>900</v>
      </c>
      <c r="N22">
        <v>122</v>
      </c>
      <c r="O22">
        <v>-26.95</v>
      </c>
      <c r="P22">
        <v>177</v>
      </c>
      <c r="Q22">
        <v>-16.510000000000002</v>
      </c>
      <c r="R22">
        <v>114</v>
      </c>
      <c r="S22">
        <v>-13.64</v>
      </c>
    </row>
    <row r="23" spans="1:19" x14ac:dyDescent="0.2">
      <c r="A23" s="1">
        <v>45017</v>
      </c>
      <c r="B23" s="1">
        <v>45107</v>
      </c>
      <c r="C23">
        <v>2023</v>
      </c>
      <c r="D23">
        <v>4</v>
      </c>
      <c r="E23">
        <v>2</v>
      </c>
      <c r="F23" t="s">
        <v>5</v>
      </c>
      <c r="G23" t="s">
        <v>0</v>
      </c>
      <c r="H23">
        <v>182</v>
      </c>
      <c r="I23">
        <v>-24.17</v>
      </c>
      <c r="J23">
        <v>383495</v>
      </c>
      <c r="K23">
        <v>-0.39</v>
      </c>
      <c r="L23">
        <v>33</v>
      </c>
      <c r="M23">
        <v>1800</v>
      </c>
      <c r="N23">
        <v>244</v>
      </c>
      <c r="O23">
        <v>-32.409999999999997</v>
      </c>
      <c r="P23">
        <v>360</v>
      </c>
      <c r="Q23">
        <v>-20</v>
      </c>
      <c r="R23">
        <v>231</v>
      </c>
      <c r="S23">
        <v>-14.76</v>
      </c>
    </row>
    <row r="24" spans="1:19" x14ac:dyDescent="0.2">
      <c r="A24" s="1">
        <v>45047</v>
      </c>
      <c r="B24" s="1">
        <v>45138</v>
      </c>
      <c r="C24">
        <v>2023</v>
      </c>
      <c r="D24">
        <v>5</v>
      </c>
      <c r="E24">
        <v>2</v>
      </c>
      <c r="F24" t="s">
        <v>5</v>
      </c>
      <c r="G24" t="s">
        <v>2</v>
      </c>
      <c r="H24">
        <v>55</v>
      </c>
      <c r="I24">
        <v>-17.91</v>
      </c>
      <c r="J24">
        <v>400000</v>
      </c>
      <c r="K24">
        <v>-1.23</v>
      </c>
      <c r="L24">
        <v>10</v>
      </c>
      <c r="M24">
        <v>-1100</v>
      </c>
      <c r="N24">
        <v>68</v>
      </c>
      <c r="O24">
        <v>-30.61</v>
      </c>
      <c r="P24">
        <v>84</v>
      </c>
      <c r="Q24">
        <v>-36.36</v>
      </c>
      <c r="R24">
        <v>56</v>
      </c>
      <c r="S24">
        <v>-24.32</v>
      </c>
    </row>
    <row r="25" spans="1:19" x14ac:dyDescent="0.2">
      <c r="A25" s="1">
        <v>45047</v>
      </c>
      <c r="B25" s="1">
        <v>45138</v>
      </c>
      <c r="C25">
        <v>2023</v>
      </c>
      <c r="D25">
        <v>5</v>
      </c>
      <c r="E25">
        <v>2</v>
      </c>
      <c r="F25" t="s">
        <v>5</v>
      </c>
      <c r="G25" t="s">
        <v>4</v>
      </c>
      <c r="H25">
        <v>17</v>
      </c>
      <c r="I25">
        <v>142.86000000000001</v>
      </c>
      <c r="J25">
        <v>485000</v>
      </c>
      <c r="K25">
        <v>4.3</v>
      </c>
      <c r="L25">
        <v>10</v>
      </c>
      <c r="M25">
        <v>-150</v>
      </c>
      <c r="N25">
        <v>25</v>
      </c>
      <c r="O25">
        <v>92.31</v>
      </c>
      <c r="P25">
        <v>30</v>
      </c>
      <c r="Q25">
        <v>42.86</v>
      </c>
      <c r="R25">
        <v>18</v>
      </c>
      <c r="S25">
        <v>100</v>
      </c>
    </row>
    <row r="26" spans="1:19" x14ac:dyDescent="0.2">
      <c r="A26" s="1">
        <v>45047</v>
      </c>
      <c r="B26" s="1">
        <v>45138</v>
      </c>
      <c r="C26">
        <v>2023</v>
      </c>
      <c r="D26">
        <v>5</v>
      </c>
      <c r="E26">
        <v>2</v>
      </c>
      <c r="F26" t="s">
        <v>5</v>
      </c>
      <c r="G26" t="s">
        <v>3</v>
      </c>
      <c r="H26">
        <v>8</v>
      </c>
      <c r="I26">
        <v>-52.94</v>
      </c>
      <c r="J26">
        <v>418000</v>
      </c>
      <c r="K26">
        <v>11.02</v>
      </c>
      <c r="L26">
        <v>10</v>
      </c>
      <c r="M26">
        <v>-750</v>
      </c>
      <c r="N26">
        <v>13</v>
      </c>
      <c r="O26">
        <v>-27.78</v>
      </c>
      <c r="P26">
        <v>14</v>
      </c>
      <c r="Q26">
        <v>-53.33</v>
      </c>
      <c r="R26">
        <v>10</v>
      </c>
      <c r="S26">
        <v>-28.57</v>
      </c>
    </row>
    <row r="27" spans="1:19" x14ac:dyDescent="0.2">
      <c r="A27" s="1">
        <v>45047</v>
      </c>
      <c r="B27" s="1">
        <v>45138</v>
      </c>
      <c r="C27">
        <v>2023</v>
      </c>
      <c r="D27">
        <v>5</v>
      </c>
      <c r="E27">
        <v>2</v>
      </c>
      <c r="F27" t="s">
        <v>5</v>
      </c>
      <c r="G27" t="s">
        <v>1</v>
      </c>
      <c r="H27">
        <v>96</v>
      </c>
      <c r="I27">
        <v>-20.66</v>
      </c>
      <c r="J27">
        <v>459000</v>
      </c>
      <c r="K27">
        <v>-5.82</v>
      </c>
      <c r="L27">
        <v>23</v>
      </c>
      <c r="M27">
        <v>750</v>
      </c>
      <c r="N27">
        <v>118</v>
      </c>
      <c r="O27">
        <v>-24.84</v>
      </c>
      <c r="P27">
        <v>181</v>
      </c>
      <c r="Q27">
        <v>-16.97</v>
      </c>
      <c r="R27">
        <v>107</v>
      </c>
      <c r="S27">
        <v>-4.46</v>
      </c>
    </row>
    <row r="28" spans="1:19" x14ac:dyDescent="0.2">
      <c r="A28" s="1">
        <v>45047</v>
      </c>
      <c r="B28" s="1">
        <v>45138</v>
      </c>
      <c r="C28">
        <v>2023</v>
      </c>
      <c r="D28">
        <v>5</v>
      </c>
      <c r="E28">
        <v>2</v>
      </c>
      <c r="F28" t="s">
        <v>5</v>
      </c>
      <c r="G28" t="s">
        <v>0</v>
      </c>
      <c r="H28">
        <v>206</v>
      </c>
      <c r="I28">
        <v>-10.82</v>
      </c>
      <c r="J28">
        <v>390323</v>
      </c>
      <c r="K28">
        <v>-2.84</v>
      </c>
      <c r="L28">
        <v>29</v>
      </c>
      <c r="M28">
        <v>1050</v>
      </c>
      <c r="N28">
        <v>258</v>
      </c>
      <c r="O28">
        <v>-23.21</v>
      </c>
      <c r="P28">
        <v>386</v>
      </c>
      <c r="Q28">
        <v>-16.09</v>
      </c>
      <c r="R28">
        <v>243</v>
      </c>
      <c r="S28">
        <v>-3.19</v>
      </c>
    </row>
    <row r="29" spans="1:19" x14ac:dyDescent="0.2">
      <c r="A29" s="1">
        <v>45078</v>
      </c>
      <c r="B29" s="1">
        <v>45169</v>
      </c>
      <c r="C29">
        <v>2023</v>
      </c>
      <c r="D29">
        <v>6</v>
      </c>
      <c r="E29">
        <v>2</v>
      </c>
      <c r="F29" t="s">
        <v>5</v>
      </c>
      <c r="G29" t="s">
        <v>2</v>
      </c>
      <c r="H29">
        <v>52</v>
      </c>
      <c r="I29">
        <v>-17.46</v>
      </c>
      <c r="J29">
        <v>379000</v>
      </c>
      <c r="K29">
        <v>-0.26</v>
      </c>
      <c r="L29">
        <v>15</v>
      </c>
      <c r="M29">
        <v>-1350</v>
      </c>
      <c r="N29">
        <v>71</v>
      </c>
      <c r="O29">
        <v>-22.83</v>
      </c>
      <c r="P29">
        <v>91</v>
      </c>
      <c r="Q29">
        <v>-32.090000000000003</v>
      </c>
      <c r="R29">
        <v>55</v>
      </c>
      <c r="S29">
        <v>-28.57</v>
      </c>
    </row>
    <row r="30" spans="1:19" x14ac:dyDescent="0.2">
      <c r="A30" s="1">
        <v>45078</v>
      </c>
      <c r="B30" s="1">
        <v>45169</v>
      </c>
      <c r="C30">
        <v>2023</v>
      </c>
      <c r="D30">
        <v>6</v>
      </c>
      <c r="E30">
        <v>2</v>
      </c>
      <c r="F30" t="s">
        <v>5</v>
      </c>
      <c r="G30" t="s">
        <v>4</v>
      </c>
      <c r="H30">
        <v>11</v>
      </c>
      <c r="I30">
        <v>10</v>
      </c>
      <c r="J30">
        <v>440000</v>
      </c>
      <c r="K30">
        <v>-6.88</v>
      </c>
      <c r="L30">
        <v>9</v>
      </c>
      <c r="M30">
        <v>-3500</v>
      </c>
      <c r="N30">
        <v>17</v>
      </c>
      <c r="O30">
        <v>54.55</v>
      </c>
      <c r="P30">
        <v>27</v>
      </c>
      <c r="Q30">
        <v>42.11</v>
      </c>
      <c r="R30">
        <v>14</v>
      </c>
      <c r="S30">
        <v>27.27</v>
      </c>
    </row>
    <row r="31" spans="1:19" x14ac:dyDescent="0.2">
      <c r="A31" s="1">
        <v>45078</v>
      </c>
      <c r="B31" s="1">
        <v>45169</v>
      </c>
      <c r="C31">
        <v>2023</v>
      </c>
      <c r="D31">
        <v>6</v>
      </c>
      <c r="E31">
        <v>2</v>
      </c>
      <c r="F31" t="s">
        <v>5</v>
      </c>
      <c r="G31" t="s">
        <v>3</v>
      </c>
      <c r="H31">
        <v>8</v>
      </c>
      <c r="I31">
        <v>-38.46</v>
      </c>
      <c r="J31">
        <v>460000</v>
      </c>
      <c r="K31">
        <v>27.78</v>
      </c>
      <c r="L31">
        <v>9</v>
      </c>
      <c r="M31">
        <v>-1150</v>
      </c>
      <c r="N31">
        <v>18</v>
      </c>
      <c r="O31">
        <v>12.5</v>
      </c>
      <c r="P31">
        <v>19</v>
      </c>
      <c r="Q31">
        <v>-29.63</v>
      </c>
      <c r="R31">
        <v>11</v>
      </c>
      <c r="S31">
        <v>-8.33</v>
      </c>
    </row>
    <row r="32" spans="1:19" x14ac:dyDescent="0.2">
      <c r="A32" s="1">
        <v>45078</v>
      </c>
      <c r="B32" s="1">
        <v>45169</v>
      </c>
      <c r="C32">
        <v>2023</v>
      </c>
      <c r="D32">
        <v>6</v>
      </c>
      <c r="E32">
        <v>2</v>
      </c>
      <c r="F32" t="s">
        <v>5</v>
      </c>
      <c r="G32" t="s">
        <v>1</v>
      </c>
      <c r="H32">
        <v>96</v>
      </c>
      <c r="I32">
        <v>-13.51</v>
      </c>
      <c r="J32">
        <v>450000</v>
      </c>
      <c r="K32">
        <v>-5.0599999999999996</v>
      </c>
      <c r="L32">
        <v>20</v>
      </c>
      <c r="M32">
        <v>-400</v>
      </c>
      <c r="N32">
        <v>108</v>
      </c>
      <c r="O32">
        <v>-28</v>
      </c>
      <c r="P32">
        <v>167</v>
      </c>
      <c r="Q32">
        <v>-28.94</v>
      </c>
      <c r="R32">
        <v>115</v>
      </c>
      <c r="S32">
        <v>-1.71</v>
      </c>
    </row>
    <row r="33" spans="1:19" x14ac:dyDescent="0.2">
      <c r="A33" s="1">
        <v>45078</v>
      </c>
      <c r="B33" s="1">
        <v>45169</v>
      </c>
      <c r="C33">
        <v>2023</v>
      </c>
      <c r="D33">
        <v>6</v>
      </c>
      <c r="E33">
        <v>2</v>
      </c>
      <c r="F33" t="s">
        <v>5</v>
      </c>
      <c r="G33" t="s">
        <v>0</v>
      </c>
      <c r="H33">
        <v>219</v>
      </c>
      <c r="I33">
        <v>-0.9</v>
      </c>
      <c r="J33">
        <v>392500</v>
      </c>
      <c r="K33">
        <v>-1.88</v>
      </c>
      <c r="L33">
        <v>24</v>
      </c>
      <c r="M33">
        <v>100</v>
      </c>
      <c r="N33">
        <v>264</v>
      </c>
      <c r="O33">
        <v>-7.69</v>
      </c>
      <c r="P33">
        <v>388</v>
      </c>
      <c r="Q33">
        <v>-11.42</v>
      </c>
      <c r="R33">
        <v>233</v>
      </c>
      <c r="S33">
        <v>0.43</v>
      </c>
    </row>
    <row r="34" spans="1:19" x14ac:dyDescent="0.2">
      <c r="A34" s="1">
        <v>45108</v>
      </c>
      <c r="B34" s="1">
        <v>45199</v>
      </c>
      <c r="C34">
        <v>2023</v>
      </c>
      <c r="D34">
        <v>7</v>
      </c>
      <c r="E34">
        <v>3</v>
      </c>
      <c r="F34" t="s">
        <v>5</v>
      </c>
      <c r="G34" t="s">
        <v>2</v>
      </c>
      <c r="H34">
        <v>53</v>
      </c>
      <c r="I34">
        <v>-18.46</v>
      </c>
      <c r="J34">
        <v>371500</v>
      </c>
      <c r="K34">
        <v>-0.13</v>
      </c>
      <c r="L34">
        <v>24</v>
      </c>
      <c r="M34">
        <v>-200</v>
      </c>
      <c r="N34">
        <v>61</v>
      </c>
      <c r="O34">
        <v>-28.24</v>
      </c>
      <c r="P34">
        <v>88</v>
      </c>
      <c r="Q34">
        <v>-35.770000000000003</v>
      </c>
      <c r="R34">
        <v>51</v>
      </c>
      <c r="S34">
        <v>-32.89</v>
      </c>
    </row>
    <row r="35" spans="1:19" x14ac:dyDescent="0.2">
      <c r="A35" s="1">
        <v>45108</v>
      </c>
      <c r="B35" s="1">
        <v>45199</v>
      </c>
      <c r="C35">
        <v>2023</v>
      </c>
      <c r="D35">
        <v>7</v>
      </c>
      <c r="E35">
        <v>3</v>
      </c>
      <c r="F35" t="s">
        <v>5</v>
      </c>
      <c r="G35" t="s">
        <v>4</v>
      </c>
      <c r="H35">
        <v>10</v>
      </c>
      <c r="I35">
        <v>0</v>
      </c>
      <c r="J35">
        <v>455000</v>
      </c>
      <c r="K35">
        <v>4.5999999999999996</v>
      </c>
      <c r="L35">
        <v>24</v>
      </c>
      <c r="M35">
        <v>-1700</v>
      </c>
      <c r="N35">
        <v>14</v>
      </c>
      <c r="O35">
        <v>75</v>
      </c>
      <c r="P35">
        <v>25</v>
      </c>
      <c r="Q35">
        <v>38.89</v>
      </c>
      <c r="R35">
        <v>11</v>
      </c>
      <c r="S35">
        <v>0</v>
      </c>
    </row>
    <row r="36" spans="1:19" x14ac:dyDescent="0.2">
      <c r="A36" s="1">
        <v>45108</v>
      </c>
      <c r="B36" s="1">
        <v>45199</v>
      </c>
      <c r="C36">
        <v>2023</v>
      </c>
      <c r="D36">
        <v>7</v>
      </c>
      <c r="E36">
        <v>3</v>
      </c>
      <c r="F36" t="s">
        <v>5</v>
      </c>
      <c r="G36" t="s">
        <v>3</v>
      </c>
      <c r="H36">
        <v>11</v>
      </c>
      <c r="I36">
        <v>22.22</v>
      </c>
      <c r="J36">
        <v>440000</v>
      </c>
      <c r="K36">
        <v>21.21</v>
      </c>
      <c r="L36">
        <v>9</v>
      </c>
      <c r="M36">
        <v>-4700</v>
      </c>
      <c r="N36">
        <v>28</v>
      </c>
      <c r="O36">
        <v>115.38</v>
      </c>
      <c r="P36">
        <v>29</v>
      </c>
      <c r="Q36">
        <v>20.83</v>
      </c>
      <c r="R36">
        <v>10</v>
      </c>
      <c r="S36">
        <v>0</v>
      </c>
    </row>
    <row r="37" spans="1:19" x14ac:dyDescent="0.2">
      <c r="A37" s="1">
        <v>45108</v>
      </c>
      <c r="B37" s="1">
        <v>45199</v>
      </c>
      <c r="C37">
        <v>2023</v>
      </c>
      <c r="D37">
        <v>7</v>
      </c>
      <c r="E37">
        <v>3</v>
      </c>
      <c r="F37" t="s">
        <v>5</v>
      </c>
      <c r="G37" t="s">
        <v>1</v>
      </c>
      <c r="H37">
        <v>106</v>
      </c>
      <c r="I37">
        <v>-7.02</v>
      </c>
      <c r="J37">
        <v>473500</v>
      </c>
      <c r="K37">
        <v>3.05</v>
      </c>
      <c r="L37">
        <v>28</v>
      </c>
      <c r="M37">
        <v>-550</v>
      </c>
      <c r="N37">
        <v>118</v>
      </c>
      <c r="O37">
        <v>-23.87</v>
      </c>
      <c r="P37">
        <v>189</v>
      </c>
      <c r="Q37">
        <v>-23.79</v>
      </c>
      <c r="R37">
        <v>120</v>
      </c>
      <c r="S37">
        <v>3.45</v>
      </c>
    </row>
    <row r="38" spans="1:19" x14ac:dyDescent="0.2">
      <c r="A38" s="1">
        <v>45108</v>
      </c>
      <c r="B38" s="1">
        <v>45199</v>
      </c>
      <c r="C38">
        <v>2023</v>
      </c>
      <c r="D38">
        <v>7</v>
      </c>
      <c r="E38">
        <v>3</v>
      </c>
      <c r="F38" t="s">
        <v>5</v>
      </c>
      <c r="G38" t="s">
        <v>0</v>
      </c>
      <c r="H38">
        <v>215</v>
      </c>
      <c r="I38">
        <v>4.88</v>
      </c>
      <c r="J38">
        <v>400000</v>
      </c>
      <c r="K38">
        <v>0</v>
      </c>
      <c r="L38">
        <v>22</v>
      </c>
      <c r="M38">
        <v>-600</v>
      </c>
      <c r="N38">
        <v>265</v>
      </c>
      <c r="O38">
        <v>8.16</v>
      </c>
      <c r="P38">
        <v>393</v>
      </c>
      <c r="Q38">
        <v>-9.0299999999999994</v>
      </c>
      <c r="R38">
        <v>225</v>
      </c>
      <c r="S38">
        <v>-0.88</v>
      </c>
    </row>
    <row r="39" spans="1:19" x14ac:dyDescent="0.2">
      <c r="A39" s="1">
        <v>45139</v>
      </c>
      <c r="B39" s="1">
        <v>45230</v>
      </c>
      <c r="C39">
        <v>2023</v>
      </c>
      <c r="D39">
        <v>8</v>
      </c>
      <c r="E39">
        <v>3</v>
      </c>
      <c r="F39" t="s">
        <v>5</v>
      </c>
      <c r="G39" t="s">
        <v>2</v>
      </c>
      <c r="H39">
        <v>53</v>
      </c>
      <c r="I39">
        <v>-22.06</v>
      </c>
      <c r="J39">
        <v>384000</v>
      </c>
      <c r="K39">
        <v>2.4</v>
      </c>
      <c r="L39">
        <v>25</v>
      </c>
      <c r="M39">
        <v>-450</v>
      </c>
      <c r="N39">
        <v>60</v>
      </c>
      <c r="O39">
        <v>-13.04</v>
      </c>
      <c r="P39">
        <v>84</v>
      </c>
      <c r="Q39">
        <v>-33.86</v>
      </c>
      <c r="R39">
        <v>44</v>
      </c>
      <c r="S39">
        <v>-35.29</v>
      </c>
    </row>
    <row r="40" spans="1:19" x14ac:dyDescent="0.2">
      <c r="A40" s="1">
        <v>45139</v>
      </c>
      <c r="B40" s="1">
        <v>45230</v>
      </c>
      <c r="C40">
        <v>2023</v>
      </c>
      <c r="D40">
        <v>8</v>
      </c>
      <c r="E40">
        <v>3</v>
      </c>
      <c r="F40" t="s">
        <v>5</v>
      </c>
      <c r="G40" t="s">
        <v>4</v>
      </c>
      <c r="H40">
        <v>13</v>
      </c>
      <c r="I40">
        <v>8.33</v>
      </c>
      <c r="J40">
        <v>470000</v>
      </c>
      <c r="K40">
        <v>6.82</v>
      </c>
      <c r="L40">
        <v>19</v>
      </c>
      <c r="M40">
        <v>-3000</v>
      </c>
      <c r="N40">
        <v>14</v>
      </c>
      <c r="O40">
        <v>75</v>
      </c>
      <c r="P40">
        <v>24</v>
      </c>
      <c r="Q40">
        <v>26.32</v>
      </c>
      <c r="R40">
        <v>16</v>
      </c>
      <c r="S40">
        <v>33.33</v>
      </c>
    </row>
    <row r="41" spans="1:19" x14ac:dyDescent="0.2">
      <c r="A41" s="1">
        <v>45139</v>
      </c>
      <c r="B41" s="1">
        <v>45230</v>
      </c>
      <c r="C41">
        <v>2023</v>
      </c>
      <c r="D41">
        <v>8</v>
      </c>
      <c r="E41">
        <v>3</v>
      </c>
      <c r="F41" t="s">
        <v>5</v>
      </c>
      <c r="G41" t="s">
        <v>3</v>
      </c>
      <c r="H41">
        <v>11</v>
      </c>
      <c r="I41">
        <v>57.14</v>
      </c>
      <c r="J41">
        <v>410000</v>
      </c>
      <c r="K41">
        <v>0</v>
      </c>
      <c r="L41">
        <v>9</v>
      </c>
      <c r="M41">
        <v>-4700</v>
      </c>
      <c r="N41">
        <v>24</v>
      </c>
      <c r="O41">
        <v>84.62</v>
      </c>
      <c r="P41">
        <v>30</v>
      </c>
      <c r="Q41">
        <v>25</v>
      </c>
      <c r="R41">
        <v>15</v>
      </c>
      <c r="S41">
        <v>25</v>
      </c>
    </row>
    <row r="42" spans="1:19" x14ac:dyDescent="0.2">
      <c r="A42" s="1">
        <v>45139</v>
      </c>
      <c r="B42" s="1">
        <v>45230</v>
      </c>
      <c r="C42">
        <v>2023</v>
      </c>
      <c r="D42">
        <v>8</v>
      </c>
      <c r="E42">
        <v>3</v>
      </c>
      <c r="F42" t="s">
        <v>5</v>
      </c>
      <c r="G42" t="s">
        <v>1</v>
      </c>
      <c r="H42">
        <v>106</v>
      </c>
      <c r="I42">
        <v>-3.64</v>
      </c>
      <c r="J42">
        <v>480000</v>
      </c>
      <c r="K42">
        <v>9.09</v>
      </c>
      <c r="L42">
        <v>34</v>
      </c>
      <c r="M42">
        <v>-550</v>
      </c>
      <c r="N42">
        <v>116</v>
      </c>
      <c r="O42">
        <v>-15.94</v>
      </c>
      <c r="P42">
        <v>177</v>
      </c>
      <c r="Q42">
        <v>-27.46</v>
      </c>
      <c r="R42">
        <v>115</v>
      </c>
      <c r="S42">
        <v>3.6</v>
      </c>
    </row>
    <row r="43" spans="1:19" x14ac:dyDescent="0.2">
      <c r="A43" s="1">
        <v>45139</v>
      </c>
      <c r="B43" s="1">
        <v>45230</v>
      </c>
      <c r="C43">
        <v>2023</v>
      </c>
      <c r="D43">
        <v>8</v>
      </c>
      <c r="E43">
        <v>3</v>
      </c>
      <c r="F43" t="s">
        <v>5</v>
      </c>
      <c r="G43" t="s">
        <v>0</v>
      </c>
      <c r="H43">
        <v>218</v>
      </c>
      <c r="I43">
        <v>10.1</v>
      </c>
      <c r="J43">
        <v>400000</v>
      </c>
      <c r="K43">
        <v>0.88</v>
      </c>
      <c r="L43">
        <v>22</v>
      </c>
      <c r="M43">
        <v>-900</v>
      </c>
      <c r="N43">
        <v>238</v>
      </c>
      <c r="O43">
        <v>14.42</v>
      </c>
      <c r="P43">
        <v>375</v>
      </c>
      <c r="Q43">
        <v>-6.02</v>
      </c>
      <c r="R43">
        <v>221</v>
      </c>
      <c r="S43">
        <v>8.8699999999999992</v>
      </c>
    </row>
    <row r="44" spans="1:19" x14ac:dyDescent="0.2">
      <c r="A44" s="1">
        <v>45170</v>
      </c>
      <c r="B44" s="1">
        <v>45260</v>
      </c>
      <c r="C44">
        <v>2023</v>
      </c>
      <c r="D44">
        <v>9</v>
      </c>
      <c r="E44">
        <v>3</v>
      </c>
      <c r="F44" t="s">
        <v>5</v>
      </c>
      <c r="G44" t="s">
        <v>2</v>
      </c>
      <c r="H44">
        <v>46</v>
      </c>
      <c r="I44">
        <v>-17.86</v>
      </c>
      <c r="J44">
        <v>387000</v>
      </c>
      <c r="K44">
        <v>3.2</v>
      </c>
      <c r="L44">
        <v>19</v>
      </c>
      <c r="M44">
        <v>-900</v>
      </c>
      <c r="N44">
        <v>48</v>
      </c>
      <c r="O44">
        <v>-15.79</v>
      </c>
      <c r="P44">
        <v>75</v>
      </c>
      <c r="Q44">
        <v>-31.19</v>
      </c>
      <c r="R44">
        <v>39</v>
      </c>
      <c r="S44">
        <v>-25</v>
      </c>
    </row>
    <row r="45" spans="1:19" x14ac:dyDescent="0.2">
      <c r="A45" s="1">
        <v>45170</v>
      </c>
      <c r="B45" s="1">
        <v>45260</v>
      </c>
      <c r="C45">
        <v>2023</v>
      </c>
      <c r="D45">
        <v>9</v>
      </c>
      <c r="E45">
        <v>3</v>
      </c>
      <c r="F45" t="s">
        <v>5</v>
      </c>
      <c r="G45" t="s">
        <v>4</v>
      </c>
      <c r="H45">
        <v>16</v>
      </c>
      <c r="I45">
        <v>60</v>
      </c>
      <c r="J45">
        <v>426750</v>
      </c>
      <c r="K45">
        <v>-2.46</v>
      </c>
      <c r="L45">
        <v>24</v>
      </c>
      <c r="M45">
        <v>-750</v>
      </c>
      <c r="N45">
        <v>11</v>
      </c>
      <c r="O45">
        <v>0</v>
      </c>
      <c r="P45">
        <v>20</v>
      </c>
      <c r="Q45">
        <v>17.649999999999999</v>
      </c>
      <c r="R45">
        <v>12</v>
      </c>
      <c r="S45">
        <v>33.33</v>
      </c>
    </row>
    <row r="46" spans="1:19" x14ac:dyDescent="0.2">
      <c r="A46" s="1">
        <v>45170</v>
      </c>
      <c r="B46" s="1">
        <v>45260</v>
      </c>
      <c r="C46">
        <v>2023</v>
      </c>
      <c r="D46">
        <v>9</v>
      </c>
      <c r="E46">
        <v>3</v>
      </c>
      <c r="F46" t="s">
        <v>5</v>
      </c>
      <c r="G46" t="s">
        <v>3</v>
      </c>
      <c r="H46">
        <v>10</v>
      </c>
      <c r="I46">
        <v>0</v>
      </c>
      <c r="J46">
        <v>417500</v>
      </c>
      <c r="K46">
        <v>0</v>
      </c>
      <c r="L46">
        <v>18</v>
      </c>
      <c r="M46">
        <v>-4250</v>
      </c>
      <c r="N46">
        <v>18</v>
      </c>
      <c r="O46">
        <v>50</v>
      </c>
      <c r="P46">
        <v>25</v>
      </c>
      <c r="Q46">
        <v>8.6999999999999993</v>
      </c>
      <c r="R46">
        <v>12</v>
      </c>
      <c r="S46">
        <v>-29.41</v>
      </c>
    </row>
    <row r="47" spans="1:19" x14ac:dyDescent="0.2">
      <c r="A47" s="1">
        <v>45170</v>
      </c>
      <c r="B47" s="1">
        <v>45260</v>
      </c>
      <c r="C47">
        <v>2023</v>
      </c>
      <c r="D47">
        <v>9</v>
      </c>
      <c r="E47">
        <v>3</v>
      </c>
      <c r="F47" t="s">
        <v>5</v>
      </c>
      <c r="G47" t="s">
        <v>1</v>
      </c>
      <c r="H47">
        <v>87</v>
      </c>
      <c r="I47">
        <v>-4.4000000000000004</v>
      </c>
      <c r="J47">
        <v>489990</v>
      </c>
      <c r="K47">
        <v>11.87</v>
      </c>
      <c r="L47">
        <v>38</v>
      </c>
      <c r="M47">
        <v>-950</v>
      </c>
      <c r="N47">
        <v>108</v>
      </c>
      <c r="O47">
        <v>-5.26</v>
      </c>
      <c r="P47">
        <v>158</v>
      </c>
      <c r="Q47">
        <v>-29.78</v>
      </c>
      <c r="R47">
        <v>96</v>
      </c>
      <c r="S47">
        <v>1.05</v>
      </c>
    </row>
    <row r="48" spans="1:19" x14ac:dyDescent="0.2">
      <c r="A48" s="1">
        <v>45170</v>
      </c>
      <c r="B48" s="1">
        <v>45260</v>
      </c>
      <c r="C48">
        <v>2023</v>
      </c>
      <c r="D48">
        <v>9</v>
      </c>
      <c r="E48">
        <v>3</v>
      </c>
      <c r="F48" t="s">
        <v>5</v>
      </c>
      <c r="G48" t="s">
        <v>0</v>
      </c>
      <c r="H48">
        <v>195</v>
      </c>
      <c r="I48">
        <v>1.56</v>
      </c>
      <c r="J48">
        <v>403990</v>
      </c>
      <c r="K48">
        <v>2.41</v>
      </c>
      <c r="L48">
        <v>27</v>
      </c>
      <c r="M48">
        <v>-750</v>
      </c>
      <c r="N48">
        <v>207</v>
      </c>
      <c r="O48">
        <v>16.29</v>
      </c>
      <c r="P48">
        <v>346</v>
      </c>
      <c r="Q48">
        <v>-1.1399999999999999</v>
      </c>
      <c r="R48">
        <v>199</v>
      </c>
      <c r="S48">
        <v>15.03</v>
      </c>
    </row>
    <row r="49" spans="1:19" x14ac:dyDescent="0.2">
      <c r="A49" s="1">
        <v>45200</v>
      </c>
      <c r="B49" s="1">
        <v>45291</v>
      </c>
      <c r="C49">
        <v>2023</v>
      </c>
      <c r="D49">
        <v>10</v>
      </c>
      <c r="E49">
        <v>4</v>
      </c>
      <c r="F49" t="s">
        <v>5</v>
      </c>
      <c r="G49" t="s">
        <v>2</v>
      </c>
      <c r="H49">
        <v>36</v>
      </c>
      <c r="I49">
        <v>-30.77</v>
      </c>
      <c r="J49">
        <v>391250</v>
      </c>
      <c r="K49">
        <v>7.12</v>
      </c>
      <c r="L49">
        <v>16</v>
      </c>
      <c r="M49">
        <v>-1150</v>
      </c>
      <c r="N49">
        <v>45</v>
      </c>
      <c r="O49">
        <v>15.38</v>
      </c>
      <c r="P49">
        <v>72</v>
      </c>
      <c r="Q49">
        <v>-20</v>
      </c>
      <c r="R49">
        <v>42</v>
      </c>
      <c r="S49">
        <v>-8.6999999999999993</v>
      </c>
    </row>
    <row r="50" spans="1:19" x14ac:dyDescent="0.2">
      <c r="A50" s="1">
        <v>45200</v>
      </c>
      <c r="B50" s="1">
        <v>45291</v>
      </c>
      <c r="C50">
        <v>2023</v>
      </c>
      <c r="D50">
        <v>10</v>
      </c>
      <c r="E50">
        <v>4</v>
      </c>
      <c r="F50" t="s">
        <v>5</v>
      </c>
      <c r="G50" t="s">
        <v>4</v>
      </c>
      <c r="H50">
        <v>14</v>
      </c>
      <c r="I50">
        <v>75</v>
      </c>
      <c r="J50">
        <v>429500</v>
      </c>
      <c r="K50">
        <v>-6.12</v>
      </c>
      <c r="L50">
        <v>22</v>
      </c>
      <c r="M50">
        <v>-1750</v>
      </c>
      <c r="N50">
        <v>5</v>
      </c>
      <c r="O50">
        <v>-50</v>
      </c>
      <c r="P50">
        <v>17</v>
      </c>
      <c r="Q50">
        <v>13.33</v>
      </c>
      <c r="R50">
        <v>10</v>
      </c>
      <c r="S50">
        <v>66.67</v>
      </c>
    </row>
    <row r="51" spans="1:19" x14ac:dyDescent="0.2">
      <c r="A51" s="1">
        <v>45200</v>
      </c>
      <c r="B51" s="1">
        <v>45291</v>
      </c>
      <c r="C51">
        <v>2023</v>
      </c>
      <c r="D51">
        <v>10</v>
      </c>
      <c r="E51">
        <v>4</v>
      </c>
      <c r="F51" t="s">
        <v>5</v>
      </c>
      <c r="G51" t="s">
        <v>3</v>
      </c>
      <c r="H51">
        <v>11</v>
      </c>
      <c r="I51">
        <v>-15.38</v>
      </c>
      <c r="J51">
        <v>469000</v>
      </c>
      <c r="K51">
        <v>22.77</v>
      </c>
      <c r="L51">
        <v>60</v>
      </c>
      <c r="M51">
        <v>1200</v>
      </c>
      <c r="N51">
        <v>6</v>
      </c>
      <c r="O51">
        <v>-45.45</v>
      </c>
      <c r="P51">
        <v>21</v>
      </c>
      <c r="Q51">
        <v>-8.6999999999999993</v>
      </c>
      <c r="R51">
        <v>13</v>
      </c>
      <c r="S51">
        <v>-23.53</v>
      </c>
    </row>
    <row r="52" spans="1:19" x14ac:dyDescent="0.2">
      <c r="A52" s="1">
        <v>45200</v>
      </c>
      <c r="B52" s="1">
        <v>45291</v>
      </c>
      <c r="C52">
        <v>2023</v>
      </c>
      <c r="D52">
        <v>10</v>
      </c>
      <c r="E52">
        <v>4</v>
      </c>
      <c r="F52" t="s">
        <v>5</v>
      </c>
      <c r="G52" t="s">
        <v>1</v>
      </c>
      <c r="H52">
        <v>72</v>
      </c>
      <c r="I52">
        <v>-15.29</v>
      </c>
      <c r="J52">
        <v>500000</v>
      </c>
      <c r="K52">
        <v>13.64</v>
      </c>
      <c r="L52">
        <v>36</v>
      </c>
      <c r="M52">
        <v>-1300</v>
      </c>
      <c r="N52">
        <v>76</v>
      </c>
      <c r="O52">
        <v>-1.3</v>
      </c>
      <c r="P52">
        <v>147</v>
      </c>
      <c r="Q52">
        <v>-23.83</v>
      </c>
      <c r="R52">
        <v>80</v>
      </c>
      <c r="S52">
        <v>-1.23</v>
      </c>
    </row>
    <row r="53" spans="1:19" x14ac:dyDescent="0.2">
      <c r="A53" s="1">
        <v>45200</v>
      </c>
      <c r="B53" s="1">
        <v>45291</v>
      </c>
      <c r="C53">
        <v>2023</v>
      </c>
      <c r="D53">
        <v>10</v>
      </c>
      <c r="E53">
        <v>4</v>
      </c>
      <c r="F53" t="s">
        <v>5</v>
      </c>
      <c r="G53" t="s">
        <v>0</v>
      </c>
      <c r="H53">
        <v>173</v>
      </c>
      <c r="I53">
        <v>4.8499999999999996</v>
      </c>
      <c r="J53">
        <v>395990</v>
      </c>
      <c r="K53">
        <v>9.6199999999999992</v>
      </c>
      <c r="L53">
        <v>33</v>
      </c>
      <c r="M53">
        <v>-600</v>
      </c>
      <c r="N53">
        <v>161</v>
      </c>
      <c r="O53">
        <v>16.670000000000002</v>
      </c>
      <c r="P53">
        <v>310</v>
      </c>
      <c r="Q53">
        <v>1.31</v>
      </c>
      <c r="R53">
        <v>176</v>
      </c>
      <c r="S53">
        <v>30.37</v>
      </c>
    </row>
    <row r="54" spans="1:19" x14ac:dyDescent="0.2">
      <c r="A54" s="1">
        <v>45231</v>
      </c>
      <c r="B54" s="1">
        <v>45322</v>
      </c>
      <c r="C54">
        <v>2023</v>
      </c>
      <c r="D54">
        <v>11</v>
      </c>
      <c r="E54">
        <v>4</v>
      </c>
      <c r="F54" t="s">
        <v>5</v>
      </c>
      <c r="G54" t="s">
        <v>2</v>
      </c>
      <c r="H54">
        <v>37</v>
      </c>
      <c r="I54">
        <v>-13.95</v>
      </c>
      <c r="J54">
        <v>365000</v>
      </c>
      <c r="K54">
        <v>1.81</v>
      </c>
      <c r="L54">
        <v>18</v>
      </c>
      <c r="M54">
        <v>-1100</v>
      </c>
      <c r="N54">
        <v>45</v>
      </c>
      <c r="O54">
        <v>45.16</v>
      </c>
      <c r="P54">
        <v>76</v>
      </c>
      <c r="Q54">
        <v>-1.3</v>
      </c>
      <c r="R54">
        <v>43</v>
      </c>
      <c r="S54">
        <v>2.38</v>
      </c>
    </row>
    <row r="55" spans="1:19" x14ac:dyDescent="0.2">
      <c r="A55" s="1">
        <v>45231</v>
      </c>
      <c r="B55" s="1">
        <v>45322</v>
      </c>
      <c r="C55">
        <v>2023</v>
      </c>
      <c r="D55">
        <v>11</v>
      </c>
      <c r="E55">
        <v>4</v>
      </c>
      <c r="F55" t="s">
        <v>5</v>
      </c>
      <c r="G55" t="s">
        <v>4</v>
      </c>
      <c r="H55">
        <v>10</v>
      </c>
      <c r="I55">
        <v>42.86</v>
      </c>
      <c r="J55">
        <v>415000</v>
      </c>
      <c r="K55">
        <v>-17</v>
      </c>
      <c r="L55">
        <v>27</v>
      </c>
      <c r="M55">
        <v>1650</v>
      </c>
      <c r="N55">
        <v>2</v>
      </c>
      <c r="O55">
        <v>-80</v>
      </c>
      <c r="P55">
        <v>10</v>
      </c>
      <c r="Q55">
        <v>-41.18</v>
      </c>
      <c r="R55">
        <v>7</v>
      </c>
      <c r="S55">
        <v>-22.22</v>
      </c>
    </row>
    <row r="56" spans="1:19" x14ac:dyDescent="0.2">
      <c r="A56" s="1">
        <v>45231</v>
      </c>
      <c r="B56" s="1">
        <v>45322</v>
      </c>
      <c r="C56">
        <v>2023</v>
      </c>
      <c r="D56">
        <v>11</v>
      </c>
      <c r="E56">
        <v>4</v>
      </c>
      <c r="F56" t="s">
        <v>5</v>
      </c>
      <c r="G56" t="s">
        <v>3</v>
      </c>
      <c r="H56">
        <v>10</v>
      </c>
      <c r="I56">
        <v>-41.18</v>
      </c>
      <c r="J56">
        <v>479500</v>
      </c>
      <c r="K56">
        <v>35.07</v>
      </c>
      <c r="L56">
        <v>72</v>
      </c>
      <c r="M56">
        <v>1650</v>
      </c>
      <c r="N56">
        <v>6</v>
      </c>
      <c r="O56">
        <v>-25</v>
      </c>
      <c r="P56">
        <v>17</v>
      </c>
      <c r="Q56">
        <v>-15</v>
      </c>
      <c r="R56">
        <v>9</v>
      </c>
      <c r="S56">
        <v>-43.75</v>
      </c>
    </row>
    <row r="57" spans="1:19" x14ac:dyDescent="0.2">
      <c r="A57" s="1">
        <v>45231</v>
      </c>
      <c r="B57" s="1">
        <v>45322</v>
      </c>
      <c r="C57">
        <v>2023</v>
      </c>
      <c r="D57">
        <v>11</v>
      </c>
      <c r="E57">
        <v>4</v>
      </c>
      <c r="F57" t="s">
        <v>5</v>
      </c>
      <c r="G57" t="s">
        <v>1</v>
      </c>
      <c r="H57">
        <v>70</v>
      </c>
      <c r="I57">
        <v>9.3800000000000008</v>
      </c>
      <c r="J57">
        <v>495000</v>
      </c>
      <c r="K57">
        <v>10</v>
      </c>
      <c r="L57">
        <v>49</v>
      </c>
      <c r="M57">
        <v>650</v>
      </c>
      <c r="N57">
        <v>83</v>
      </c>
      <c r="O57">
        <v>36.07</v>
      </c>
      <c r="P57">
        <v>156</v>
      </c>
      <c r="Q57">
        <v>-4.88</v>
      </c>
      <c r="R57">
        <v>83</v>
      </c>
      <c r="S57">
        <v>25.76</v>
      </c>
    </row>
    <row r="58" spans="1:19" x14ac:dyDescent="0.2">
      <c r="A58" s="1">
        <v>45231</v>
      </c>
      <c r="B58" s="1">
        <v>45322</v>
      </c>
      <c r="C58">
        <v>2023</v>
      </c>
      <c r="D58">
        <v>11</v>
      </c>
      <c r="E58">
        <v>4</v>
      </c>
      <c r="F58" t="s">
        <v>5</v>
      </c>
      <c r="G58" t="s">
        <v>0</v>
      </c>
      <c r="H58">
        <v>145</v>
      </c>
      <c r="I58">
        <v>18.850000000000001</v>
      </c>
      <c r="J58">
        <v>395000</v>
      </c>
      <c r="K58">
        <v>10.029999999999999</v>
      </c>
      <c r="L58">
        <v>43</v>
      </c>
      <c r="M58">
        <v>-250</v>
      </c>
      <c r="N58">
        <v>175</v>
      </c>
      <c r="O58">
        <v>44.63</v>
      </c>
      <c r="P58">
        <v>311</v>
      </c>
      <c r="Q58">
        <v>13.09</v>
      </c>
      <c r="R58">
        <v>172</v>
      </c>
      <c r="S58">
        <v>44.54</v>
      </c>
    </row>
    <row r="59" spans="1:19" x14ac:dyDescent="0.2">
      <c r="A59" s="1">
        <v>45261</v>
      </c>
      <c r="B59" s="1">
        <v>45351</v>
      </c>
      <c r="C59">
        <v>2023</v>
      </c>
      <c r="D59">
        <v>12</v>
      </c>
      <c r="E59">
        <v>4</v>
      </c>
      <c r="F59" t="s">
        <v>5</v>
      </c>
      <c r="G59" t="s">
        <v>2</v>
      </c>
      <c r="H59">
        <v>35</v>
      </c>
      <c r="I59">
        <v>-7.89</v>
      </c>
      <c r="J59">
        <v>372000</v>
      </c>
      <c r="K59">
        <v>6.29</v>
      </c>
      <c r="L59">
        <v>24</v>
      </c>
      <c r="M59">
        <v>-1800</v>
      </c>
      <c r="N59">
        <v>54</v>
      </c>
      <c r="O59">
        <v>107.69</v>
      </c>
      <c r="P59">
        <v>82</v>
      </c>
      <c r="Q59">
        <v>20.59</v>
      </c>
      <c r="R59">
        <v>54</v>
      </c>
      <c r="S59">
        <v>25.58</v>
      </c>
    </row>
    <row r="60" spans="1:19" x14ac:dyDescent="0.2">
      <c r="A60" s="1">
        <v>45261</v>
      </c>
      <c r="B60" s="1">
        <v>45351</v>
      </c>
      <c r="C60">
        <v>2023</v>
      </c>
      <c r="D60">
        <v>12</v>
      </c>
      <c r="E60">
        <v>4</v>
      </c>
      <c r="F60" t="s">
        <v>5</v>
      </c>
      <c r="G60" t="s">
        <v>4</v>
      </c>
      <c r="H60">
        <v>6</v>
      </c>
      <c r="I60">
        <v>-14.29</v>
      </c>
      <c r="J60">
        <v>564153</v>
      </c>
      <c r="K60">
        <v>21.32</v>
      </c>
      <c r="L60">
        <v>41</v>
      </c>
      <c r="M60">
        <v>400</v>
      </c>
      <c r="N60">
        <v>6</v>
      </c>
      <c r="O60">
        <v>-33.33</v>
      </c>
      <c r="P60">
        <v>12</v>
      </c>
      <c r="Q60">
        <v>-33.33</v>
      </c>
      <c r="R60">
        <v>6</v>
      </c>
      <c r="S60">
        <v>-40</v>
      </c>
    </row>
    <row r="61" spans="1:19" x14ac:dyDescent="0.2">
      <c r="A61" s="1">
        <v>45261</v>
      </c>
      <c r="B61" s="1">
        <v>45351</v>
      </c>
      <c r="C61">
        <v>2023</v>
      </c>
      <c r="D61">
        <v>12</v>
      </c>
      <c r="E61">
        <v>4</v>
      </c>
      <c r="F61" t="s">
        <v>5</v>
      </c>
      <c r="G61" t="s">
        <v>3</v>
      </c>
      <c r="H61">
        <v>10</v>
      </c>
      <c r="I61">
        <v>-16.670000000000002</v>
      </c>
      <c r="J61">
        <v>479500</v>
      </c>
      <c r="K61">
        <v>38.99</v>
      </c>
      <c r="L61">
        <v>66</v>
      </c>
      <c r="M61">
        <v>800</v>
      </c>
      <c r="N61">
        <v>9</v>
      </c>
      <c r="O61">
        <v>50</v>
      </c>
      <c r="P61">
        <v>16</v>
      </c>
      <c r="Q61">
        <v>23.08</v>
      </c>
      <c r="R61">
        <v>12</v>
      </c>
      <c r="S61">
        <v>0</v>
      </c>
    </row>
    <row r="62" spans="1:19" x14ac:dyDescent="0.2">
      <c r="A62" s="1">
        <v>45261</v>
      </c>
      <c r="B62" s="1">
        <v>45351</v>
      </c>
      <c r="C62">
        <v>2023</v>
      </c>
      <c r="D62">
        <v>12</v>
      </c>
      <c r="E62">
        <v>4</v>
      </c>
      <c r="F62" t="s">
        <v>5</v>
      </c>
      <c r="G62" t="s">
        <v>1</v>
      </c>
      <c r="H62">
        <v>81</v>
      </c>
      <c r="I62">
        <v>35</v>
      </c>
      <c r="J62">
        <v>485000</v>
      </c>
      <c r="K62">
        <v>7.78</v>
      </c>
      <c r="L62">
        <v>45</v>
      </c>
      <c r="M62">
        <v>-2700</v>
      </c>
      <c r="N62">
        <v>101</v>
      </c>
      <c r="O62">
        <v>40.28</v>
      </c>
      <c r="P62">
        <v>167</v>
      </c>
      <c r="Q62">
        <v>-4.0199999999999996</v>
      </c>
      <c r="R62">
        <v>93</v>
      </c>
      <c r="S62">
        <v>13.41</v>
      </c>
    </row>
    <row r="63" spans="1:19" x14ac:dyDescent="0.2">
      <c r="A63" s="1">
        <v>45261</v>
      </c>
      <c r="B63" s="1">
        <v>45351</v>
      </c>
      <c r="C63">
        <v>2023</v>
      </c>
      <c r="D63">
        <v>12</v>
      </c>
      <c r="E63">
        <v>4</v>
      </c>
      <c r="F63" t="s">
        <v>5</v>
      </c>
      <c r="G63" t="s">
        <v>0</v>
      </c>
      <c r="H63">
        <v>161</v>
      </c>
      <c r="I63">
        <v>59.41</v>
      </c>
      <c r="J63">
        <v>395000</v>
      </c>
      <c r="K63">
        <v>12.86</v>
      </c>
      <c r="L63">
        <v>43</v>
      </c>
      <c r="M63">
        <v>-400</v>
      </c>
      <c r="N63">
        <v>181</v>
      </c>
      <c r="O63">
        <v>42.52</v>
      </c>
      <c r="P63">
        <v>321</v>
      </c>
      <c r="Q63">
        <v>26.38</v>
      </c>
      <c r="R63">
        <v>199</v>
      </c>
      <c r="S63">
        <v>61.79</v>
      </c>
    </row>
    <row r="64" spans="1:19" x14ac:dyDescent="0.2">
      <c r="A64" s="1">
        <v>45292</v>
      </c>
      <c r="B64" s="1">
        <v>45382</v>
      </c>
      <c r="C64">
        <v>2024</v>
      </c>
      <c r="D64">
        <v>1</v>
      </c>
      <c r="E64">
        <v>1</v>
      </c>
      <c r="F64" t="s">
        <v>5</v>
      </c>
      <c r="G64" t="s">
        <v>2</v>
      </c>
      <c r="H64">
        <v>44</v>
      </c>
      <c r="I64">
        <v>22.22</v>
      </c>
      <c r="J64">
        <v>371000</v>
      </c>
      <c r="K64">
        <v>3.99</v>
      </c>
      <c r="L64">
        <v>23</v>
      </c>
      <c r="M64">
        <v>-2050</v>
      </c>
      <c r="N64">
        <v>76</v>
      </c>
      <c r="O64">
        <v>76.739999999999995</v>
      </c>
      <c r="P64">
        <v>106</v>
      </c>
      <c r="Q64">
        <v>51.43</v>
      </c>
      <c r="R64">
        <v>60</v>
      </c>
      <c r="S64">
        <v>13.21</v>
      </c>
    </row>
    <row r="65" spans="1:19" x14ac:dyDescent="0.2">
      <c r="A65" s="1">
        <v>45292</v>
      </c>
      <c r="B65" s="1">
        <v>45382</v>
      </c>
      <c r="C65">
        <v>2024</v>
      </c>
      <c r="D65">
        <v>1</v>
      </c>
      <c r="E65">
        <v>1</v>
      </c>
      <c r="F65" t="s">
        <v>5</v>
      </c>
      <c r="G65" t="s">
        <v>4</v>
      </c>
      <c r="H65">
        <v>7</v>
      </c>
      <c r="I65">
        <v>0</v>
      </c>
      <c r="J65">
        <v>560000</v>
      </c>
      <c r="K65">
        <v>7.69</v>
      </c>
      <c r="L65">
        <v>85</v>
      </c>
      <c r="M65">
        <v>5000</v>
      </c>
      <c r="N65">
        <v>7</v>
      </c>
      <c r="O65">
        <v>-36.36</v>
      </c>
      <c r="P65">
        <v>13</v>
      </c>
      <c r="Q65">
        <v>-23.53</v>
      </c>
      <c r="R65">
        <v>7</v>
      </c>
      <c r="S65">
        <v>-46.15</v>
      </c>
    </row>
    <row r="66" spans="1:19" x14ac:dyDescent="0.2">
      <c r="A66" s="1">
        <v>45292</v>
      </c>
      <c r="B66" s="1">
        <v>45382</v>
      </c>
      <c r="C66">
        <v>2024</v>
      </c>
      <c r="D66">
        <v>1</v>
      </c>
      <c r="E66">
        <v>1</v>
      </c>
      <c r="F66" t="s">
        <v>5</v>
      </c>
      <c r="G66" t="s">
        <v>3</v>
      </c>
      <c r="H66">
        <v>10</v>
      </c>
      <c r="I66">
        <v>0</v>
      </c>
      <c r="J66">
        <v>447500</v>
      </c>
      <c r="K66">
        <v>30.28</v>
      </c>
      <c r="L66">
        <v>19</v>
      </c>
      <c r="M66">
        <v>-600</v>
      </c>
      <c r="N66">
        <v>13</v>
      </c>
      <c r="O66">
        <v>116.67</v>
      </c>
      <c r="P66">
        <v>16</v>
      </c>
      <c r="Q66">
        <v>45.45</v>
      </c>
      <c r="R66">
        <v>9</v>
      </c>
      <c r="S66">
        <v>0</v>
      </c>
    </row>
    <row r="67" spans="1:19" x14ac:dyDescent="0.2">
      <c r="A67" s="1">
        <v>45292</v>
      </c>
      <c r="B67" s="1">
        <v>45382</v>
      </c>
      <c r="C67">
        <v>2024</v>
      </c>
      <c r="D67">
        <v>1</v>
      </c>
      <c r="E67">
        <v>1</v>
      </c>
      <c r="F67" t="s">
        <v>5</v>
      </c>
      <c r="G67" t="s">
        <v>1</v>
      </c>
      <c r="H67">
        <v>84</v>
      </c>
      <c r="I67">
        <v>10.53</v>
      </c>
      <c r="J67">
        <v>472500</v>
      </c>
      <c r="K67">
        <v>5</v>
      </c>
      <c r="L67">
        <v>42</v>
      </c>
      <c r="M67">
        <v>-1500</v>
      </c>
      <c r="N67">
        <v>119</v>
      </c>
      <c r="O67">
        <v>32.22</v>
      </c>
      <c r="P67">
        <v>176</v>
      </c>
      <c r="Q67">
        <v>-0.56000000000000005</v>
      </c>
      <c r="R67">
        <v>97</v>
      </c>
      <c r="S67">
        <v>-9.35</v>
      </c>
    </row>
    <row r="68" spans="1:19" x14ac:dyDescent="0.2">
      <c r="A68" s="1">
        <v>45292</v>
      </c>
      <c r="B68" s="1">
        <v>45382</v>
      </c>
      <c r="C68">
        <v>2024</v>
      </c>
      <c r="D68">
        <v>1</v>
      </c>
      <c r="E68">
        <v>1</v>
      </c>
      <c r="F68" t="s">
        <v>5</v>
      </c>
      <c r="G68" t="s">
        <v>0</v>
      </c>
      <c r="H68">
        <v>186</v>
      </c>
      <c r="I68">
        <v>72.22</v>
      </c>
      <c r="J68">
        <v>398750</v>
      </c>
      <c r="K68">
        <v>3.57</v>
      </c>
      <c r="L68">
        <v>34</v>
      </c>
      <c r="M68">
        <v>-800</v>
      </c>
      <c r="N68">
        <v>215</v>
      </c>
      <c r="O68">
        <v>34.380000000000003</v>
      </c>
      <c r="P68">
        <v>339</v>
      </c>
      <c r="Q68">
        <v>21.94</v>
      </c>
      <c r="R68">
        <v>215</v>
      </c>
      <c r="S68">
        <v>36.94</v>
      </c>
    </row>
    <row r="69" spans="1:19" x14ac:dyDescent="0.2">
      <c r="A69" s="1">
        <v>45323</v>
      </c>
      <c r="B69" s="1">
        <v>45412</v>
      </c>
      <c r="C69">
        <v>2024</v>
      </c>
      <c r="D69">
        <v>2</v>
      </c>
      <c r="E69">
        <v>1</v>
      </c>
      <c r="F69" t="s">
        <v>5</v>
      </c>
      <c r="G69" t="s">
        <v>2</v>
      </c>
      <c r="H69">
        <v>61</v>
      </c>
      <c r="I69">
        <v>32.61</v>
      </c>
      <c r="J69">
        <v>375000</v>
      </c>
      <c r="K69">
        <v>3.23</v>
      </c>
      <c r="L69">
        <v>11</v>
      </c>
      <c r="M69">
        <v>-700</v>
      </c>
      <c r="N69">
        <v>83</v>
      </c>
      <c r="O69">
        <v>56.6</v>
      </c>
      <c r="P69">
        <v>113</v>
      </c>
      <c r="Q69">
        <v>54.79</v>
      </c>
      <c r="R69">
        <v>74</v>
      </c>
      <c r="S69">
        <v>19.350000000000001</v>
      </c>
    </row>
    <row r="70" spans="1:19" x14ac:dyDescent="0.2">
      <c r="A70" s="1">
        <v>45323</v>
      </c>
      <c r="B70" s="1">
        <v>45412</v>
      </c>
      <c r="C70">
        <v>2024</v>
      </c>
      <c r="D70">
        <v>2</v>
      </c>
      <c r="E70">
        <v>1</v>
      </c>
      <c r="F70" t="s">
        <v>5</v>
      </c>
      <c r="G70" t="s">
        <v>4</v>
      </c>
      <c r="H70">
        <v>8</v>
      </c>
      <c r="I70">
        <v>14.29</v>
      </c>
      <c r="J70">
        <v>537500</v>
      </c>
      <c r="K70">
        <v>14.36</v>
      </c>
      <c r="L70">
        <v>13</v>
      </c>
      <c r="M70">
        <v>-3900</v>
      </c>
      <c r="N70">
        <v>9</v>
      </c>
      <c r="O70">
        <v>-18.18</v>
      </c>
      <c r="P70">
        <v>12</v>
      </c>
      <c r="Q70">
        <v>-33.33</v>
      </c>
      <c r="R70">
        <v>7</v>
      </c>
      <c r="S70">
        <v>-50</v>
      </c>
    </row>
    <row r="71" spans="1:19" x14ac:dyDescent="0.2">
      <c r="A71" s="1">
        <v>45323</v>
      </c>
      <c r="B71" s="1">
        <v>45412</v>
      </c>
      <c r="C71">
        <v>2024</v>
      </c>
      <c r="D71">
        <v>2</v>
      </c>
      <c r="E71">
        <v>1</v>
      </c>
      <c r="F71" t="s">
        <v>5</v>
      </c>
      <c r="G71" t="s">
        <v>3</v>
      </c>
      <c r="H71">
        <v>8</v>
      </c>
      <c r="I71">
        <v>14.29</v>
      </c>
      <c r="J71">
        <v>407500</v>
      </c>
      <c r="K71">
        <v>11.64</v>
      </c>
      <c r="L71">
        <v>14</v>
      </c>
      <c r="M71">
        <v>-450</v>
      </c>
      <c r="N71">
        <v>15</v>
      </c>
      <c r="O71">
        <v>150</v>
      </c>
      <c r="P71">
        <v>20</v>
      </c>
      <c r="Q71">
        <v>66.67</v>
      </c>
      <c r="R71">
        <v>16</v>
      </c>
      <c r="S71">
        <v>77.78</v>
      </c>
    </row>
    <row r="72" spans="1:19" x14ac:dyDescent="0.2">
      <c r="A72" s="1">
        <v>45323</v>
      </c>
      <c r="B72" s="1">
        <v>45412</v>
      </c>
      <c r="C72">
        <v>2024</v>
      </c>
      <c r="D72">
        <v>2</v>
      </c>
      <c r="E72">
        <v>1</v>
      </c>
      <c r="F72" t="s">
        <v>5</v>
      </c>
      <c r="G72" t="s">
        <v>1</v>
      </c>
      <c r="H72">
        <v>81</v>
      </c>
      <c r="I72">
        <v>-12.9</v>
      </c>
      <c r="J72">
        <v>480000</v>
      </c>
      <c r="K72">
        <v>5.21</v>
      </c>
      <c r="L72">
        <v>30</v>
      </c>
      <c r="M72">
        <v>-1200</v>
      </c>
      <c r="N72">
        <v>122</v>
      </c>
      <c r="O72">
        <v>8.93</v>
      </c>
      <c r="P72">
        <v>173</v>
      </c>
      <c r="Q72">
        <v>-10.82</v>
      </c>
      <c r="R72">
        <v>99</v>
      </c>
      <c r="S72">
        <v>-21.43</v>
      </c>
    </row>
    <row r="73" spans="1:19" x14ac:dyDescent="0.2">
      <c r="A73" s="1">
        <v>45323</v>
      </c>
      <c r="B73" s="1">
        <v>45412</v>
      </c>
      <c r="C73">
        <v>2024</v>
      </c>
      <c r="D73">
        <v>2</v>
      </c>
      <c r="E73">
        <v>1</v>
      </c>
      <c r="F73" t="s">
        <v>5</v>
      </c>
      <c r="G73" t="s">
        <v>0</v>
      </c>
      <c r="H73">
        <v>204</v>
      </c>
      <c r="I73">
        <v>51.11</v>
      </c>
      <c r="J73">
        <v>395000</v>
      </c>
      <c r="K73">
        <v>4.09</v>
      </c>
      <c r="L73">
        <v>28</v>
      </c>
      <c r="M73">
        <v>-1200</v>
      </c>
      <c r="N73">
        <v>246</v>
      </c>
      <c r="O73">
        <v>27.46</v>
      </c>
      <c r="P73">
        <v>379</v>
      </c>
      <c r="Q73">
        <v>24.67</v>
      </c>
      <c r="R73">
        <v>237</v>
      </c>
      <c r="S73">
        <v>28.11</v>
      </c>
    </row>
    <row r="74" spans="1:19" x14ac:dyDescent="0.2">
      <c r="A74" s="1">
        <v>45352</v>
      </c>
      <c r="B74" s="1">
        <v>45443</v>
      </c>
      <c r="C74">
        <v>2024</v>
      </c>
      <c r="D74">
        <v>3</v>
      </c>
      <c r="E74">
        <v>1</v>
      </c>
      <c r="F74" t="s">
        <v>5</v>
      </c>
      <c r="G74" t="s">
        <v>2</v>
      </c>
      <c r="H74">
        <v>65</v>
      </c>
      <c r="I74">
        <v>6.56</v>
      </c>
      <c r="J74">
        <v>400000</v>
      </c>
      <c r="K74">
        <v>6.67</v>
      </c>
      <c r="L74">
        <v>14</v>
      </c>
      <c r="M74">
        <v>200</v>
      </c>
      <c r="N74">
        <v>83</v>
      </c>
      <c r="O74">
        <v>27.69</v>
      </c>
      <c r="P74">
        <v>116</v>
      </c>
      <c r="Q74">
        <v>39.76</v>
      </c>
      <c r="R74">
        <v>73</v>
      </c>
      <c r="S74">
        <v>4.29</v>
      </c>
    </row>
    <row r="75" spans="1:19" x14ac:dyDescent="0.2">
      <c r="A75" s="1">
        <v>45352</v>
      </c>
      <c r="B75" s="1">
        <v>45443</v>
      </c>
      <c r="C75">
        <v>2024</v>
      </c>
      <c r="D75">
        <v>3</v>
      </c>
      <c r="E75">
        <v>1</v>
      </c>
      <c r="F75" t="s">
        <v>5</v>
      </c>
      <c r="G75" t="s">
        <v>4</v>
      </c>
      <c r="H75">
        <v>9</v>
      </c>
      <c r="I75">
        <v>-30.77</v>
      </c>
      <c r="J75">
        <v>700000</v>
      </c>
      <c r="K75">
        <v>40</v>
      </c>
      <c r="L75">
        <v>48</v>
      </c>
      <c r="M75">
        <v>3400</v>
      </c>
      <c r="N75">
        <v>6</v>
      </c>
      <c r="O75">
        <v>-70</v>
      </c>
      <c r="P75">
        <v>11</v>
      </c>
      <c r="Q75">
        <v>-60.71</v>
      </c>
      <c r="R75">
        <v>9</v>
      </c>
      <c r="S75">
        <v>-57.14</v>
      </c>
    </row>
    <row r="76" spans="1:19" x14ac:dyDescent="0.2">
      <c r="A76" s="1">
        <v>45352</v>
      </c>
      <c r="B76" s="1">
        <v>45443</v>
      </c>
      <c r="C76">
        <v>2024</v>
      </c>
      <c r="D76">
        <v>3</v>
      </c>
      <c r="E76">
        <v>1</v>
      </c>
      <c r="F76" t="s">
        <v>5</v>
      </c>
      <c r="G76" t="s">
        <v>3</v>
      </c>
      <c r="H76">
        <v>14</v>
      </c>
      <c r="I76">
        <v>40</v>
      </c>
      <c r="J76">
        <v>432500</v>
      </c>
      <c r="K76">
        <v>13.67</v>
      </c>
      <c r="L76">
        <v>16</v>
      </c>
      <c r="M76">
        <v>-150</v>
      </c>
      <c r="N76">
        <v>15</v>
      </c>
      <c r="O76">
        <v>150</v>
      </c>
      <c r="P76">
        <v>19</v>
      </c>
      <c r="Q76">
        <v>90</v>
      </c>
      <c r="R76">
        <v>17</v>
      </c>
      <c r="S76">
        <v>112.5</v>
      </c>
    </row>
    <row r="77" spans="1:19" x14ac:dyDescent="0.2">
      <c r="A77" s="1">
        <v>45352</v>
      </c>
      <c r="B77" s="1">
        <v>45443</v>
      </c>
      <c r="C77">
        <v>2024</v>
      </c>
      <c r="D77">
        <v>3</v>
      </c>
      <c r="E77">
        <v>1</v>
      </c>
      <c r="F77" t="s">
        <v>5</v>
      </c>
      <c r="G77" t="s">
        <v>1</v>
      </c>
      <c r="H77">
        <v>88</v>
      </c>
      <c r="I77">
        <v>-20</v>
      </c>
      <c r="J77">
        <v>480000</v>
      </c>
      <c r="K77">
        <v>4.3499999999999996</v>
      </c>
      <c r="L77">
        <v>23</v>
      </c>
      <c r="M77">
        <v>-800</v>
      </c>
      <c r="N77">
        <v>124</v>
      </c>
      <c r="O77">
        <v>8.77</v>
      </c>
      <c r="P77">
        <v>176</v>
      </c>
      <c r="Q77">
        <v>-8.33</v>
      </c>
      <c r="R77">
        <v>104</v>
      </c>
      <c r="S77">
        <v>-18.11</v>
      </c>
    </row>
    <row r="78" spans="1:19" x14ac:dyDescent="0.2">
      <c r="A78" s="1">
        <v>45352</v>
      </c>
      <c r="B78" s="1">
        <v>45443</v>
      </c>
      <c r="C78">
        <v>2024</v>
      </c>
      <c r="D78">
        <v>3</v>
      </c>
      <c r="E78">
        <v>1</v>
      </c>
      <c r="F78" t="s">
        <v>5</v>
      </c>
      <c r="G78" t="s">
        <v>0</v>
      </c>
      <c r="H78">
        <v>205</v>
      </c>
      <c r="I78">
        <v>28.13</v>
      </c>
      <c r="J78">
        <v>392500</v>
      </c>
      <c r="K78">
        <v>1.42</v>
      </c>
      <c r="L78">
        <v>25</v>
      </c>
      <c r="M78">
        <v>-1200</v>
      </c>
      <c r="N78">
        <v>274</v>
      </c>
      <c r="O78">
        <v>21.78</v>
      </c>
      <c r="P78">
        <v>385</v>
      </c>
      <c r="Q78">
        <v>13.57</v>
      </c>
      <c r="R78">
        <v>234</v>
      </c>
      <c r="S78">
        <v>8.84</v>
      </c>
    </row>
    <row r="79" spans="1:19" x14ac:dyDescent="0.2">
      <c r="A79" s="1">
        <v>45383</v>
      </c>
      <c r="B79" s="1">
        <v>45473</v>
      </c>
      <c r="C79">
        <v>2024</v>
      </c>
      <c r="D79">
        <v>4</v>
      </c>
      <c r="E79">
        <v>2</v>
      </c>
      <c r="F79" t="s">
        <v>5</v>
      </c>
      <c r="G79" t="s">
        <v>2</v>
      </c>
      <c r="H79">
        <v>65</v>
      </c>
      <c r="I79">
        <v>4.84</v>
      </c>
      <c r="J79">
        <v>415000</v>
      </c>
      <c r="K79">
        <v>4.01</v>
      </c>
      <c r="L79">
        <v>20</v>
      </c>
      <c r="M79">
        <v>1000</v>
      </c>
      <c r="N79">
        <v>72</v>
      </c>
      <c r="O79">
        <v>9.09</v>
      </c>
      <c r="P79">
        <v>113</v>
      </c>
      <c r="Q79">
        <v>31.4</v>
      </c>
      <c r="R79">
        <v>76</v>
      </c>
      <c r="S79">
        <v>11.76</v>
      </c>
    </row>
    <row r="80" spans="1:19" x14ac:dyDescent="0.2">
      <c r="A80" s="1">
        <v>45383</v>
      </c>
      <c r="B80" s="1">
        <v>45473</v>
      </c>
      <c r="C80">
        <v>2024</v>
      </c>
      <c r="D80">
        <v>4</v>
      </c>
      <c r="E80">
        <v>2</v>
      </c>
      <c r="F80" t="s">
        <v>5</v>
      </c>
      <c r="G80" t="s">
        <v>4</v>
      </c>
      <c r="H80">
        <v>7</v>
      </c>
      <c r="I80">
        <v>-58.82</v>
      </c>
      <c r="J80">
        <v>700000</v>
      </c>
      <c r="K80">
        <v>44.33</v>
      </c>
      <c r="L80">
        <v>18</v>
      </c>
      <c r="M80">
        <v>750</v>
      </c>
      <c r="N80">
        <v>7</v>
      </c>
      <c r="O80">
        <v>-73.08</v>
      </c>
      <c r="P80">
        <v>11</v>
      </c>
      <c r="Q80">
        <v>-67.650000000000006</v>
      </c>
      <c r="R80">
        <v>9</v>
      </c>
      <c r="S80">
        <v>-60.87</v>
      </c>
    </row>
    <row r="81" spans="1:19" x14ac:dyDescent="0.2">
      <c r="A81" s="1">
        <v>45383</v>
      </c>
      <c r="B81" s="1">
        <v>45473</v>
      </c>
      <c r="C81">
        <v>2024</v>
      </c>
      <c r="D81">
        <v>4</v>
      </c>
      <c r="E81">
        <v>2</v>
      </c>
      <c r="F81" t="s">
        <v>5</v>
      </c>
      <c r="G81" t="s">
        <v>3</v>
      </c>
      <c r="H81">
        <v>15</v>
      </c>
      <c r="I81">
        <v>150</v>
      </c>
      <c r="J81">
        <v>405000</v>
      </c>
      <c r="K81">
        <v>-0.12</v>
      </c>
      <c r="L81">
        <v>16</v>
      </c>
      <c r="M81">
        <v>-5950</v>
      </c>
      <c r="N81">
        <v>13</v>
      </c>
      <c r="O81">
        <v>62.5</v>
      </c>
      <c r="P81">
        <v>22</v>
      </c>
      <c r="Q81">
        <v>83.33</v>
      </c>
      <c r="R81">
        <v>18</v>
      </c>
      <c r="S81">
        <v>100</v>
      </c>
    </row>
    <row r="82" spans="1:19" x14ac:dyDescent="0.2">
      <c r="A82" s="1">
        <v>45383</v>
      </c>
      <c r="B82" s="1">
        <v>45473</v>
      </c>
      <c r="C82">
        <v>2024</v>
      </c>
      <c r="D82">
        <v>4</v>
      </c>
      <c r="E82">
        <v>2</v>
      </c>
      <c r="F82" t="s">
        <v>5</v>
      </c>
      <c r="G82" t="s">
        <v>1</v>
      </c>
      <c r="H82">
        <v>92</v>
      </c>
      <c r="I82">
        <v>-8</v>
      </c>
      <c r="J82">
        <v>473490</v>
      </c>
      <c r="K82">
        <v>3.44</v>
      </c>
      <c r="L82">
        <v>24</v>
      </c>
      <c r="M82">
        <v>100</v>
      </c>
      <c r="N82">
        <v>118</v>
      </c>
      <c r="O82">
        <v>-3.28</v>
      </c>
      <c r="P82">
        <v>180</v>
      </c>
      <c r="Q82">
        <v>1.69</v>
      </c>
      <c r="R82">
        <v>103</v>
      </c>
      <c r="S82">
        <v>-9.65</v>
      </c>
    </row>
    <row r="83" spans="1:19" x14ac:dyDescent="0.2">
      <c r="A83" s="1">
        <v>45383</v>
      </c>
      <c r="B83" s="1">
        <v>45473</v>
      </c>
      <c r="C83">
        <v>2024</v>
      </c>
      <c r="D83">
        <v>4</v>
      </c>
      <c r="E83">
        <v>2</v>
      </c>
      <c r="F83" t="s">
        <v>5</v>
      </c>
      <c r="G83" t="s">
        <v>0</v>
      </c>
      <c r="H83">
        <v>211</v>
      </c>
      <c r="I83">
        <v>15.93</v>
      </c>
      <c r="J83">
        <v>402745</v>
      </c>
      <c r="K83">
        <v>5.0199999999999996</v>
      </c>
      <c r="L83">
        <v>26</v>
      </c>
      <c r="M83">
        <v>-750</v>
      </c>
      <c r="N83">
        <v>301</v>
      </c>
      <c r="O83">
        <v>23.36</v>
      </c>
      <c r="P83">
        <v>418</v>
      </c>
      <c r="Q83">
        <v>16.11</v>
      </c>
      <c r="R83">
        <v>239</v>
      </c>
      <c r="S83">
        <v>3.46</v>
      </c>
    </row>
    <row r="84" spans="1:19" x14ac:dyDescent="0.2">
      <c r="A84" s="1">
        <v>45413</v>
      </c>
      <c r="B84" s="1">
        <v>45504</v>
      </c>
      <c r="C84">
        <v>2024</v>
      </c>
      <c r="D84">
        <v>5</v>
      </c>
      <c r="E84">
        <v>2</v>
      </c>
      <c r="F84" t="s">
        <v>5</v>
      </c>
      <c r="G84" t="s">
        <v>2</v>
      </c>
      <c r="H84">
        <v>56</v>
      </c>
      <c r="I84">
        <v>1.82</v>
      </c>
      <c r="J84">
        <v>419000</v>
      </c>
      <c r="K84">
        <v>4.75</v>
      </c>
      <c r="L84">
        <v>33</v>
      </c>
      <c r="M84">
        <v>2300</v>
      </c>
      <c r="N84">
        <v>75</v>
      </c>
      <c r="O84">
        <v>10.29</v>
      </c>
      <c r="P84">
        <v>114</v>
      </c>
      <c r="Q84">
        <v>35.71</v>
      </c>
      <c r="R84">
        <v>70</v>
      </c>
      <c r="S84">
        <v>25</v>
      </c>
    </row>
    <row r="85" spans="1:19" x14ac:dyDescent="0.2">
      <c r="A85" s="1">
        <v>45413</v>
      </c>
      <c r="B85" s="1">
        <v>45504</v>
      </c>
      <c r="C85">
        <v>2024</v>
      </c>
      <c r="D85">
        <v>5</v>
      </c>
      <c r="E85">
        <v>2</v>
      </c>
      <c r="F85" t="s">
        <v>5</v>
      </c>
      <c r="G85" t="s">
        <v>4</v>
      </c>
      <c r="H85">
        <v>7</v>
      </c>
      <c r="I85">
        <v>-58.82</v>
      </c>
      <c r="J85">
        <v>598900</v>
      </c>
      <c r="K85">
        <v>23.48</v>
      </c>
      <c r="L85">
        <v>49</v>
      </c>
      <c r="M85">
        <v>3950</v>
      </c>
      <c r="N85">
        <v>10</v>
      </c>
      <c r="O85">
        <v>-60</v>
      </c>
      <c r="P85">
        <v>16</v>
      </c>
      <c r="Q85">
        <v>-46.67</v>
      </c>
      <c r="R85">
        <v>9</v>
      </c>
      <c r="S85">
        <v>-50</v>
      </c>
    </row>
    <row r="86" spans="1:19" x14ac:dyDescent="0.2">
      <c r="A86" s="1">
        <v>45413</v>
      </c>
      <c r="B86" s="1">
        <v>45504</v>
      </c>
      <c r="C86">
        <v>2024</v>
      </c>
      <c r="D86">
        <v>5</v>
      </c>
      <c r="E86">
        <v>2</v>
      </c>
      <c r="F86" t="s">
        <v>5</v>
      </c>
      <c r="G86" t="s">
        <v>3</v>
      </c>
      <c r="H86">
        <v>16</v>
      </c>
      <c r="I86">
        <v>100</v>
      </c>
      <c r="J86">
        <v>417500</v>
      </c>
      <c r="K86">
        <v>-0.12</v>
      </c>
      <c r="L86">
        <v>18</v>
      </c>
      <c r="M86">
        <v>800</v>
      </c>
      <c r="N86">
        <v>9</v>
      </c>
      <c r="O86">
        <v>-30.77</v>
      </c>
      <c r="P86">
        <v>15</v>
      </c>
      <c r="Q86">
        <v>7.14</v>
      </c>
      <c r="R86">
        <v>10</v>
      </c>
      <c r="S86">
        <v>0</v>
      </c>
    </row>
    <row r="87" spans="1:19" x14ac:dyDescent="0.2">
      <c r="A87" s="1">
        <v>45413</v>
      </c>
      <c r="B87" s="1">
        <v>45504</v>
      </c>
      <c r="C87">
        <v>2024</v>
      </c>
      <c r="D87">
        <v>5</v>
      </c>
      <c r="E87">
        <v>2</v>
      </c>
      <c r="F87" t="s">
        <v>5</v>
      </c>
      <c r="G87" t="s">
        <v>1</v>
      </c>
      <c r="H87">
        <v>96</v>
      </c>
      <c r="I87">
        <v>0</v>
      </c>
      <c r="J87">
        <v>464995</v>
      </c>
      <c r="K87">
        <v>1.31</v>
      </c>
      <c r="L87">
        <v>28</v>
      </c>
      <c r="M87">
        <v>550</v>
      </c>
      <c r="N87">
        <v>120</v>
      </c>
      <c r="O87">
        <v>1.69</v>
      </c>
      <c r="P87">
        <v>191</v>
      </c>
      <c r="Q87">
        <v>5.52</v>
      </c>
      <c r="R87">
        <v>110</v>
      </c>
      <c r="S87">
        <v>2.8</v>
      </c>
    </row>
    <row r="88" spans="1:19" x14ac:dyDescent="0.2">
      <c r="A88" s="1">
        <v>45413</v>
      </c>
      <c r="B88" s="1">
        <v>45504</v>
      </c>
      <c r="C88">
        <v>2024</v>
      </c>
      <c r="D88">
        <v>5</v>
      </c>
      <c r="E88">
        <v>2</v>
      </c>
      <c r="F88" t="s">
        <v>5</v>
      </c>
      <c r="G88" t="s">
        <v>0</v>
      </c>
      <c r="H88">
        <v>221</v>
      </c>
      <c r="I88">
        <v>7.28</v>
      </c>
      <c r="J88">
        <v>407250</v>
      </c>
      <c r="K88">
        <v>4.34</v>
      </c>
      <c r="L88">
        <v>21</v>
      </c>
      <c r="M88">
        <v>-800</v>
      </c>
      <c r="N88">
        <v>273</v>
      </c>
      <c r="O88">
        <v>5.81</v>
      </c>
      <c r="P88">
        <v>416</v>
      </c>
      <c r="Q88">
        <v>7.77</v>
      </c>
      <c r="R88">
        <v>231</v>
      </c>
      <c r="S88">
        <v>-4.9400000000000004</v>
      </c>
    </row>
    <row r="89" spans="1:19" x14ac:dyDescent="0.2">
      <c r="A89" s="1">
        <v>45444</v>
      </c>
      <c r="B89" s="1">
        <v>45535</v>
      </c>
      <c r="C89">
        <v>2024</v>
      </c>
      <c r="D89">
        <v>6</v>
      </c>
      <c r="E89">
        <v>2</v>
      </c>
      <c r="F89" t="s">
        <v>5</v>
      </c>
      <c r="G89" t="s">
        <v>2</v>
      </c>
      <c r="H89">
        <v>70</v>
      </c>
      <c r="I89">
        <v>34.619999999999997</v>
      </c>
      <c r="J89">
        <v>415000</v>
      </c>
      <c r="K89">
        <v>9.5</v>
      </c>
      <c r="L89">
        <v>32</v>
      </c>
      <c r="M89">
        <v>1750</v>
      </c>
      <c r="N89">
        <v>67</v>
      </c>
      <c r="O89">
        <v>-5.63</v>
      </c>
      <c r="P89">
        <v>105</v>
      </c>
      <c r="Q89">
        <v>15.38</v>
      </c>
      <c r="R89">
        <v>70</v>
      </c>
      <c r="S89">
        <v>27.27</v>
      </c>
    </row>
    <row r="90" spans="1:19" x14ac:dyDescent="0.2">
      <c r="A90" s="1">
        <v>45444</v>
      </c>
      <c r="B90" s="1">
        <v>45535</v>
      </c>
      <c r="C90">
        <v>2024</v>
      </c>
      <c r="D90">
        <v>6</v>
      </c>
      <c r="E90">
        <v>2</v>
      </c>
      <c r="F90" t="s">
        <v>5</v>
      </c>
      <c r="G90" t="s">
        <v>4</v>
      </c>
      <c r="H90">
        <v>10</v>
      </c>
      <c r="I90">
        <v>-9.09</v>
      </c>
      <c r="J90">
        <v>477500</v>
      </c>
      <c r="K90">
        <v>8.52</v>
      </c>
      <c r="L90">
        <v>13</v>
      </c>
      <c r="M90">
        <v>350</v>
      </c>
      <c r="N90">
        <v>13</v>
      </c>
      <c r="O90">
        <v>-23.53</v>
      </c>
      <c r="P90">
        <v>18</v>
      </c>
      <c r="Q90">
        <v>-33.33</v>
      </c>
      <c r="R90">
        <v>10</v>
      </c>
      <c r="S90">
        <v>-28.57</v>
      </c>
    </row>
    <row r="91" spans="1:19" x14ac:dyDescent="0.2">
      <c r="A91" s="1">
        <v>45444</v>
      </c>
      <c r="B91" s="1">
        <v>45535</v>
      </c>
      <c r="C91">
        <v>2024</v>
      </c>
      <c r="D91">
        <v>6</v>
      </c>
      <c r="E91">
        <v>2</v>
      </c>
      <c r="F91" t="s">
        <v>5</v>
      </c>
      <c r="G91" t="s">
        <v>3</v>
      </c>
      <c r="H91">
        <v>9</v>
      </c>
      <c r="I91">
        <v>12.5</v>
      </c>
      <c r="J91">
        <v>400000</v>
      </c>
      <c r="K91">
        <v>-13.04</v>
      </c>
      <c r="L91">
        <v>26</v>
      </c>
      <c r="M91">
        <v>1750</v>
      </c>
      <c r="N91">
        <v>10</v>
      </c>
      <c r="O91">
        <v>-44.44</v>
      </c>
      <c r="P91">
        <v>14</v>
      </c>
      <c r="Q91">
        <v>-26.32</v>
      </c>
      <c r="R91">
        <v>8</v>
      </c>
      <c r="S91">
        <v>-27.27</v>
      </c>
    </row>
    <row r="92" spans="1:19" x14ac:dyDescent="0.2">
      <c r="A92" s="1">
        <v>45444</v>
      </c>
      <c r="B92" s="1">
        <v>45535</v>
      </c>
      <c r="C92">
        <v>2024</v>
      </c>
      <c r="D92">
        <v>6</v>
      </c>
      <c r="E92">
        <v>2</v>
      </c>
      <c r="F92" t="s">
        <v>5</v>
      </c>
      <c r="G92" t="s">
        <v>1</v>
      </c>
      <c r="H92">
        <v>97</v>
      </c>
      <c r="I92">
        <v>1.04</v>
      </c>
      <c r="J92">
        <v>462000</v>
      </c>
      <c r="K92">
        <v>2.67</v>
      </c>
      <c r="L92">
        <v>35</v>
      </c>
      <c r="M92">
        <v>1550</v>
      </c>
      <c r="N92">
        <v>117</v>
      </c>
      <c r="O92">
        <v>8.33</v>
      </c>
      <c r="P92">
        <v>186</v>
      </c>
      <c r="Q92">
        <v>11.38</v>
      </c>
      <c r="R92">
        <v>107</v>
      </c>
      <c r="S92">
        <v>-6.96</v>
      </c>
    </row>
    <row r="93" spans="1:19" x14ac:dyDescent="0.2">
      <c r="A93" s="1">
        <v>45444</v>
      </c>
      <c r="B93" s="1">
        <v>45535</v>
      </c>
      <c r="C93">
        <v>2024</v>
      </c>
      <c r="D93">
        <v>6</v>
      </c>
      <c r="E93">
        <v>2</v>
      </c>
      <c r="F93" t="s">
        <v>5</v>
      </c>
      <c r="G93" t="s">
        <v>0</v>
      </c>
      <c r="H93">
        <v>222</v>
      </c>
      <c r="I93">
        <v>1.37</v>
      </c>
      <c r="J93">
        <v>410685</v>
      </c>
      <c r="K93">
        <v>4.63</v>
      </c>
      <c r="L93">
        <v>24</v>
      </c>
      <c r="M93">
        <v>0</v>
      </c>
      <c r="N93">
        <v>258</v>
      </c>
      <c r="O93">
        <v>-2.27</v>
      </c>
      <c r="P93">
        <v>394</v>
      </c>
      <c r="Q93">
        <v>1.55</v>
      </c>
      <c r="R93">
        <v>209</v>
      </c>
      <c r="S93">
        <v>-10.3</v>
      </c>
    </row>
    <row r="94" spans="1:19" x14ac:dyDescent="0.2">
      <c r="A94" s="1">
        <v>45474</v>
      </c>
      <c r="B94" s="1">
        <v>45565</v>
      </c>
      <c r="C94">
        <v>2024</v>
      </c>
      <c r="D94">
        <v>7</v>
      </c>
      <c r="E94">
        <v>3</v>
      </c>
      <c r="F94" t="s">
        <v>5</v>
      </c>
      <c r="G94" t="s">
        <v>2</v>
      </c>
      <c r="H94">
        <v>69</v>
      </c>
      <c r="I94">
        <v>30.19</v>
      </c>
      <c r="J94">
        <v>407500</v>
      </c>
      <c r="K94">
        <v>9.69</v>
      </c>
      <c r="L94">
        <v>30</v>
      </c>
      <c r="M94">
        <v>600</v>
      </c>
      <c r="N94">
        <v>63</v>
      </c>
      <c r="O94">
        <v>3.28</v>
      </c>
      <c r="P94">
        <v>98</v>
      </c>
      <c r="Q94">
        <v>11.36</v>
      </c>
      <c r="R94">
        <v>59</v>
      </c>
      <c r="S94">
        <v>15.69</v>
      </c>
    </row>
    <row r="95" spans="1:19" x14ac:dyDescent="0.2">
      <c r="A95" s="1">
        <v>45474</v>
      </c>
      <c r="B95" s="1">
        <v>45565</v>
      </c>
      <c r="C95">
        <v>2024</v>
      </c>
      <c r="D95">
        <v>7</v>
      </c>
      <c r="E95">
        <v>3</v>
      </c>
      <c r="F95" t="s">
        <v>5</v>
      </c>
      <c r="G95" t="s">
        <v>4</v>
      </c>
      <c r="H95">
        <v>10</v>
      </c>
      <c r="I95">
        <v>0</v>
      </c>
      <c r="J95">
        <v>477500</v>
      </c>
      <c r="K95">
        <v>4.95</v>
      </c>
      <c r="L95">
        <v>13</v>
      </c>
      <c r="M95">
        <v>-1150</v>
      </c>
      <c r="N95">
        <v>18</v>
      </c>
      <c r="O95">
        <v>28.57</v>
      </c>
      <c r="P95">
        <v>24</v>
      </c>
      <c r="Q95">
        <v>-4</v>
      </c>
      <c r="R95">
        <v>10</v>
      </c>
      <c r="S95">
        <v>-9.09</v>
      </c>
    </row>
    <row r="96" spans="1:19" x14ac:dyDescent="0.2">
      <c r="A96" s="1">
        <v>45474</v>
      </c>
      <c r="B96" s="1">
        <v>45565</v>
      </c>
      <c r="C96">
        <v>2024</v>
      </c>
      <c r="D96">
        <v>7</v>
      </c>
      <c r="E96">
        <v>3</v>
      </c>
      <c r="F96" t="s">
        <v>5</v>
      </c>
      <c r="G96" t="s">
        <v>3</v>
      </c>
      <c r="H96">
        <v>7</v>
      </c>
      <c r="I96">
        <v>-36.36</v>
      </c>
      <c r="J96">
        <v>395000</v>
      </c>
      <c r="K96">
        <v>-10.23</v>
      </c>
      <c r="L96">
        <v>22</v>
      </c>
      <c r="M96">
        <v>1300</v>
      </c>
      <c r="N96">
        <v>15</v>
      </c>
      <c r="O96">
        <v>-46.43</v>
      </c>
      <c r="P96">
        <v>17</v>
      </c>
      <c r="Q96">
        <v>-41.38</v>
      </c>
      <c r="R96">
        <v>10</v>
      </c>
      <c r="S96">
        <v>0</v>
      </c>
    </row>
    <row r="97" spans="1:19" x14ac:dyDescent="0.2">
      <c r="A97" s="1">
        <v>45474</v>
      </c>
      <c r="B97" s="1">
        <v>45565</v>
      </c>
      <c r="C97">
        <v>2024</v>
      </c>
      <c r="D97">
        <v>7</v>
      </c>
      <c r="E97">
        <v>3</v>
      </c>
      <c r="F97" t="s">
        <v>5</v>
      </c>
      <c r="G97" t="s">
        <v>1</v>
      </c>
      <c r="H97">
        <v>94</v>
      </c>
      <c r="I97">
        <v>-11.32</v>
      </c>
      <c r="J97">
        <v>468995</v>
      </c>
      <c r="K97">
        <v>-0.95</v>
      </c>
      <c r="L97">
        <v>31</v>
      </c>
      <c r="M97">
        <v>300</v>
      </c>
      <c r="N97">
        <v>137</v>
      </c>
      <c r="O97">
        <v>16.100000000000001</v>
      </c>
      <c r="P97">
        <v>207</v>
      </c>
      <c r="Q97">
        <v>9.52</v>
      </c>
      <c r="R97">
        <v>117</v>
      </c>
      <c r="S97">
        <v>-2.5</v>
      </c>
    </row>
    <row r="98" spans="1:19" x14ac:dyDescent="0.2">
      <c r="A98" s="1">
        <v>45474</v>
      </c>
      <c r="B98" s="1">
        <v>45565</v>
      </c>
      <c r="C98">
        <v>2024</v>
      </c>
      <c r="D98">
        <v>7</v>
      </c>
      <c r="E98">
        <v>3</v>
      </c>
      <c r="F98" t="s">
        <v>5</v>
      </c>
      <c r="G98" t="s">
        <v>0</v>
      </c>
      <c r="H98">
        <v>188</v>
      </c>
      <c r="I98">
        <v>-12.56</v>
      </c>
      <c r="J98">
        <v>410000</v>
      </c>
      <c r="K98">
        <v>2.5</v>
      </c>
      <c r="L98">
        <v>29</v>
      </c>
      <c r="M98">
        <v>700</v>
      </c>
      <c r="N98">
        <v>238</v>
      </c>
      <c r="O98">
        <v>-10.19</v>
      </c>
      <c r="P98">
        <v>406</v>
      </c>
      <c r="Q98">
        <v>3.31</v>
      </c>
      <c r="R98">
        <v>208</v>
      </c>
      <c r="S98">
        <v>-7.56</v>
      </c>
    </row>
    <row r="99" spans="1:19" x14ac:dyDescent="0.2">
      <c r="A99" s="1">
        <v>45505</v>
      </c>
      <c r="B99" s="1">
        <v>45596</v>
      </c>
      <c r="C99">
        <v>2024</v>
      </c>
      <c r="D99">
        <v>8</v>
      </c>
      <c r="E99">
        <v>3</v>
      </c>
      <c r="F99" t="s">
        <v>5</v>
      </c>
      <c r="G99" t="s">
        <v>2</v>
      </c>
      <c r="H99">
        <v>54</v>
      </c>
      <c r="I99">
        <v>1.89</v>
      </c>
      <c r="J99">
        <v>410000</v>
      </c>
      <c r="K99">
        <v>6.77</v>
      </c>
      <c r="L99">
        <v>22</v>
      </c>
      <c r="M99">
        <v>-300</v>
      </c>
      <c r="N99">
        <v>51</v>
      </c>
      <c r="O99">
        <v>-15</v>
      </c>
      <c r="P99">
        <v>95</v>
      </c>
      <c r="Q99">
        <v>13.1</v>
      </c>
      <c r="R99">
        <v>52</v>
      </c>
      <c r="S99">
        <v>18.18</v>
      </c>
    </row>
    <row r="100" spans="1:19" x14ac:dyDescent="0.2">
      <c r="A100" s="1">
        <v>45505</v>
      </c>
      <c r="B100" s="1">
        <v>45596</v>
      </c>
      <c r="C100">
        <v>2024</v>
      </c>
      <c r="D100">
        <v>8</v>
      </c>
      <c r="E100">
        <v>3</v>
      </c>
      <c r="F100" t="s">
        <v>5</v>
      </c>
      <c r="G100" t="s">
        <v>4</v>
      </c>
      <c r="H100">
        <v>11</v>
      </c>
      <c r="I100">
        <v>-15.38</v>
      </c>
      <c r="J100">
        <v>475000</v>
      </c>
      <c r="K100">
        <v>1.06</v>
      </c>
      <c r="L100">
        <v>12</v>
      </c>
      <c r="M100">
        <v>-700</v>
      </c>
      <c r="N100">
        <v>15</v>
      </c>
      <c r="O100">
        <v>7.14</v>
      </c>
      <c r="P100">
        <v>24</v>
      </c>
      <c r="Q100">
        <v>0</v>
      </c>
      <c r="R100">
        <v>13</v>
      </c>
      <c r="S100">
        <v>-18.75</v>
      </c>
    </row>
    <row r="101" spans="1:19" x14ac:dyDescent="0.2">
      <c r="A101" s="1">
        <v>45505</v>
      </c>
      <c r="B101" s="1">
        <v>45596</v>
      </c>
      <c r="C101">
        <v>2024</v>
      </c>
      <c r="D101">
        <v>8</v>
      </c>
      <c r="E101">
        <v>3</v>
      </c>
      <c r="F101" t="s">
        <v>5</v>
      </c>
      <c r="G101" t="s">
        <v>3</v>
      </c>
      <c r="H101">
        <v>11</v>
      </c>
      <c r="I101">
        <v>0</v>
      </c>
      <c r="J101">
        <v>390000</v>
      </c>
      <c r="K101">
        <v>-4.88</v>
      </c>
      <c r="L101">
        <v>22</v>
      </c>
      <c r="M101">
        <v>1300</v>
      </c>
      <c r="N101">
        <v>15</v>
      </c>
      <c r="O101">
        <v>-37.5</v>
      </c>
      <c r="P101">
        <v>18</v>
      </c>
      <c r="Q101">
        <v>-40</v>
      </c>
      <c r="R101">
        <v>13</v>
      </c>
      <c r="S101">
        <v>-13.33</v>
      </c>
    </row>
    <row r="102" spans="1:19" x14ac:dyDescent="0.2">
      <c r="A102" s="1">
        <v>45505</v>
      </c>
      <c r="B102" s="1">
        <v>45596</v>
      </c>
      <c r="C102">
        <v>2024</v>
      </c>
      <c r="D102">
        <v>8</v>
      </c>
      <c r="E102">
        <v>3</v>
      </c>
      <c r="F102" t="s">
        <v>5</v>
      </c>
      <c r="G102" t="s">
        <v>1</v>
      </c>
      <c r="H102">
        <v>109</v>
      </c>
      <c r="I102">
        <v>2.83</v>
      </c>
      <c r="J102">
        <v>468500</v>
      </c>
      <c r="K102">
        <v>-2.4</v>
      </c>
      <c r="L102">
        <v>31</v>
      </c>
      <c r="M102">
        <v>-300</v>
      </c>
      <c r="N102">
        <v>135</v>
      </c>
      <c r="O102">
        <v>16.38</v>
      </c>
      <c r="P102">
        <v>210</v>
      </c>
      <c r="Q102">
        <v>18.64</v>
      </c>
      <c r="R102">
        <v>123</v>
      </c>
      <c r="S102">
        <v>6.96</v>
      </c>
    </row>
    <row r="103" spans="1:19" x14ac:dyDescent="0.2">
      <c r="A103" s="1">
        <v>45505</v>
      </c>
      <c r="B103" s="1">
        <v>45596</v>
      </c>
      <c r="C103">
        <v>2024</v>
      </c>
      <c r="D103">
        <v>8</v>
      </c>
      <c r="E103">
        <v>3</v>
      </c>
      <c r="F103" t="s">
        <v>5</v>
      </c>
      <c r="G103" t="s">
        <v>0</v>
      </c>
      <c r="H103">
        <v>173</v>
      </c>
      <c r="I103">
        <v>-20.64</v>
      </c>
      <c r="J103">
        <v>401000</v>
      </c>
      <c r="K103">
        <v>0.25</v>
      </c>
      <c r="L103">
        <v>40</v>
      </c>
      <c r="M103">
        <v>1750</v>
      </c>
      <c r="N103">
        <v>254</v>
      </c>
      <c r="O103">
        <v>6.72</v>
      </c>
      <c r="P103">
        <v>417</v>
      </c>
      <c r="Q103">
        <v>11.2</v>
      </c>
      <c r="R103">
        <v>198</v>
      </c>
      <c r="S103">
        <v>-10.41</v>
      </c>
    </row>
    <row r="104" spans="1:19" x14ac:dyDescent="0.2">
      <c r="A104" s="1">
        <v>45536</v>
      </c>
      <c r="B104" s="1">
        <v>45626</v>
      </c>
      <c r="C104">
        <v>2024</v>
      </c>
      <c r="D104">
        <v>9</v>
      </c>
      <c r="E104">
        <v>3</v>
      </c>
      <c r="F104" t="s">
        <v>5</v>
      </c>
      <c r="G104" t="s">
        <v>2</v>
      </c>
      <c r="H104">
        <v>42</v>
      </c>
      <c r="I104">
        <v>-8.6999999999999993</v>
      </c>
      <c r="J104">
        <v>400000</v>
      </c>
      <c r="K104">
        <v>3.36</v>
      </c>
      <c r="L104">
        <v>27</v>
      </c>
      <c r="M104">
        <v>850</v>
      </c>
      <c r="N104">
        <v>50</v>
      </c>
      <c r="O104">
        <v>4.17</v>
      </c>
      <c r="P104">
        <v>84</v>
      </c>
      <c r="Q104">
        <v>12</v>
      </c>
      <c r="R104">
        <v>48</v>
      </c>
      <c r="S104">
        <v>23.08</v>
      </c>
    </row>
    <row r="105" spans="1:19" x14ac:dyDescent="0.2">
      <c r="A105" s="1">
        <v>45536</v>
      </c>
      <c r="B105" s="1">
        <v>45626</v>
      </c>
      <c r="C105">
        <v>2024</v>
      </c>
      <c r="D105">
        <v>9</v>
      </c>
      <c r="E105">
        <v>3</v>
      </c>
      <c r="F105" t="s">
        <v>5</v>
      </c>
      <c r="G105" t="s">
        <v>4</v>
      </c>
      <c r="H105">
        <v>8</v>
      </c>
      <c r="I105">
        <v>-50</v>
      </c>
      <c r="J105">
        <v>477250</v>
      </c>
      <c r="K105">
        <v>11.83</v>
      </c>
      <c r="L105">
        <v>18</v>
      </c>
      <c r="M105">
        <v>-600</v>
      </c>
      <c r="N105">
        <v>13</v>
      </c>
      <c r="O105">
        <v>18.18</v>
      </c>
      <c r="P105">
        <v>21</v>
      </c>
      <c r="Q105">
        <v>5</v>
      </c>
      <c r="R105">
        <v>13</v>
      </c>
      <c r="S105">
        <v>8.33</v>
      </c>
    </row>
    <row r="106" spans="1:19" x14ac:dyDescent="0.2">
      <c r="A106" s="1">
        <v>45536</v>
      </c>
      <c r="B106" s="1">
        <v>45626</v>
      </c>
      <c r="C106">
        <v>2024</v>
      </c>
      <c r="D106">
        <v>9</v>
      </c>
      <c r="E106">
        <v>3</v>
      </c>
      <c r="F106" t="s">
        <v>5</v>
      </c>
      <c r="G106" t="s">
        <v>3</v>
      </c>
      <c r="H106">
        <v>13</v>
      </c>
      <c r="I106">
        <v>30</v>
      </c>
      <c r="J106">
        <v>395000</v>
      </c>
      <c r="K106">
        <v>-5.39</v>
      </c>
      <c r="L106">
        <v>14</v>
      </c>
      <c r="M106">
        <v>-350</v>
      </c>
      <c r="N106">
        <v>14</v>
      </c>
      <c r="O106">
        <v>-22.22</v>
      </c>
      <c r="P106">
        <v>18</v>
      </c>
      <c r="Q106">
        <v>-28</v>
      </c>
      <c r="R106">
        <v>12</v>
      </c>
      <c r="S106">
        <v>0</v>
      </c>
    </row>
    <row r="107" spans="1:19" x14ac:dyDescent="0.2">
      <c r="A107" s="1">
        <v>45536</v>
      </c>
      <c r="B107" s="1">
        <v>45626</v>
      </c>
      <c r="C107">
        <v>2024</v>
      </c>
      <c r="D107">
        <v>9</v>
      </c>
      <c r="E107">
        <v>3</v>
      </c>
      <c r="F107" t="s">
        <v>5</v>
      </c>
      <c r="G107" t="s">
        <v>1</v>
      </c>
      <c r="H107">
        <v>105</v>
      </c>
      <c r="I107">
        <v>20.69</v>
      </c>
      <c r="J107">
        <v>469495</v>
      </c>
      <c r="K107">
        <v>-4.18</v>
      </c>
      <c r="L107">
        <v>31</v>
      </c>
      <c r="M107">
        <v>-650</v>
      </c>
      <c r="N107">
        <v>123</v>
      </c>
      <c r="O107">
        <v>13.89</v>
      </c>
      <c r="P107">
        <v>195</v>
      </c>
      <c r="Q107">
        <v>23.42</v>
      </c>
      <c r="R107">
        <v>109</v>
      </c>
      <c r="S107">
        <v>13.54</v>
      </c>
    </row>
    <row r="108" spans="1:19" x14ac:dyDescent="0.2">
      <c r="A108" s="1">
        <v>45536</v>
      </c>
      <c r="B108" s="1">
        <v>45626</v>
      </c>
      <c r="C108">
        <v>2024</v>
      </c>
      <c r="D108">
        <v>9</v>
      </c>
      <c r="E108">
        <v>3</v>
      </c>
      <c r="F108" t="s">
        <v>5</v>
      </c>
      <c r="G108" t="s">
        <v>0</v>
      </c>
      <c r="H108">
        <v>166</v>
      </c>
      <c r="I108">
        <v>-14.87</v>
      </c>
      <c r="J108">
        <v>404750</v>
      </c>
      <c r="K108">
        <v>0.19</v>
      </c>
      <c r="L108">
        <v>47</v>
      </c>
      <c r="M108">
        <v>2000</v>
      </c>
      <c r="N108">
        <v>234</v>
      </c>
      <c r="O108">
        <v>13.04</v>
      </c>
      <c r="P108">
        <v>412</v>
      </c>
      <c r="Q108">
        <v>19.079999999999998</v>
      </c>
      <c r="R108">
        <v>197</v>
      </c>
      <c r="S108">
        <v>-1.01</v>
      </c>
    </row>
    <row r="109" spans="1:19" x14ac:dyDescent="0.2">
      <c r="A109" s="1">
        <v>45566</v>
      </c>
      <c r="B109" s="1">
        <v>45657</v>
      </c>
      <c r="C109">
        <v>2024</v>
      </c>
      <c r="D109">
        <v>10</v>
      </c>
      <c r="E109">
        <v>4</v>
      </c>
      <c r="F109" t="s">
        <v>5</v>
      </c>
      <c r="G109" t="s">
        <v>2</v>
      </c>
      <c r="H109">
        <v>45</v>
      </c>
      <c r="I109">
        <v>25</v>
      </c>
      <c r="J109">
        <v>400000</v>
      </c>
      <c r="K109">
        <v>2.2400000000000002</v>
      </c>
      <c r="L109">
        <v>39</v>
      </c>
      <c r="M109">
        <v>2300</v>
      </c>
      <c r="N109">
        <v>47</v>
      </c>
      <c r="O109">
        <v>4.4400000000000004</v>
      </c>
      <c r="P109">
        <v>86</v>
      </c>
      <c r="Q109">
        <v>19.440000000000001</v>
      </c>
      <c r="R109">
        <v>48</v>
      </c>
      <c r="S109">
        <v>14.29</v>
      </c>
    </row>
    <row r="110" spans="1:19" x14ac:dyDescent="0.2">
      <c r="A110" s="1">
        <v>45566</v>
      </c>
      <c r="B110" s="1">
        <v>45657</v>
      </c>
      <c r="C110">
        <v>2024</v>
      </c>
      <c r="D110">
        <v>10</v>
      </c>
      <c r="E110">
        <v>4</v>
      </c>
      <c r="F110" t="s">
        <v>5</v>
      </c>
      <c r="G110" t="s">
        <v>4</v>
      </c>
      <c r="H110">
        <v>14</v>
      </c>
      <c r="I110">
        <v>0</v>
      </c>
      <c r="J110">
        <v>508750</v>
      </c>
      <c r="K110">
        <v>18.45</v>
      </c>
      <c r="L110">
        <v>29</v>
      </c>
      <c r="M110">
        <v>700</v>
      </c>
      <c r="N110">
        <v>9</v>
      </c>
      <c r="O110">
        <v>80</v>
      </c>
      <c r="P110">
        <v>21</v>
      </c>
      <c r="Q110">
        <v>23.53</v>
      </c>
      <c r="R110">
        <v>14</v>
      </c>
      <c r="S110">
        <v>40</v>
      </c>
    </row>
    <row r="111" spans="1:19" x14ac:dyDescent="0.2">
      <c r="A111" s="1">
        <v>45566</v>
      </c>
      <c r="B111" s="1">
        <v>45657</v>
      </c>
      <c r="C111">
        <v>2024</v>
      </c>
      <c r="D111">
        <v>10</v>
      </c>
      <c r="E111">
        <v>4</v>
      </c>
      <c r="F111" t="s">
        <v>5</v>
      </c>
      <c r="G111" t="s">
        <v>3</v>
      </c>
      <c r="H111">
        <v>12</v>
      </c>
      <c r="I111">
        <v>9.09</v>
      </c>
      <c r="J111">
        <v>415000</v>
      </c>
      <c r="K111">
        <v>-11.51</v>
      </c>
      <c r="L111">
        <v>20</v>
      </c>
      <c r="M111">
        <v>-4050</v>
      </c>
      <c r="N111">
        <v>12</v>
      </c>
      <c r="O111">
        <v>100</v>
      </c>
      <c r="P111">
        <v>18</v>
      </c>
      <c r="Q111">
        <v>-14.29</v>
      </c>
      <c r="R111">
        <v>11</v>
      </c>
      <c r="S111">
        <v>-15.38</v>
      </c>
    </row>
    <row r="112" spans="1:19" x14ac:dyDescent="0.2">
      <c r="A112" s="1">
        <v>45566</v>
      </c>
      <c r="B112" s="1">
        <v>45657</v>
      </c>
      <c r="C112">
        <v>2024</v>
      </c>
      <c r="D112">
        <v>10</v>
      </c>
      <c r="E112">
        <v>4</v>
      </c>
      <c r="F112" t="s">
        <v>5</v>
      </c>
      <c r="G112" t="s">
        <v>1</v>
      </c>
      <c r="H112">
        <v>103</v>
      </c>
      <c r="I112">
        <v>43.06</v>
      </c>
      <c r="J112">
        <v>478490</v>
      </c>
      <c r="K112">
        <v>-4.3</v>
      </c>
      <c r="L112">
        <v>28</v>
      </c>
      <c r="M112">
        <v>-800</v>
      </c>
      <c r="N112">
        <v>90</v>
      </c>
      <c r="O112">
        <v>18.420000000000002</v>
      </c>
      <c r="P112">
        <v>179</v>
      </c>
      <c r="Q112">
        <v>21.77</v>
      </c>
      <c r="R112">
        <v>90</v>
      </c>
      <c r="S112">
        <v>12.5</v>
      </c>
    </row>
    <row r="113" spans="1:19" x14ac:dyDescent="0.2">
      <c r="A113" s="1">
        <v>45566</v>
      </c>
      <c r="B113" s="1">
        <v>45657</v>
      </c>
      <c r="C113">
        <v>2024</v>
      </c>
      <c r="D113">
        <v>10</v>
      </c>
      <c r="E113">
        <v>4</v>
      </c>
      <c r="F113" t="s">
        <v>5</v>
      </c>
      <c r="G113" t="s">
        <v>0</v>
      </c>
      <c r="H113">
        <v>184</v>
      </c>
      <c r="I113">
        <v>6.36</v>
      </c>
      <c r="J113">
        <v>410000</v>
      </c>
      <c r="K113">
        <v>3.54</v>
      </c>
      <c r="L113">
        <v>47</v>
      </c>
      <c r="M113">
        <v>1350</v>
      </c>
      <c r="N113">
        <v>190</v>
      </c>
      <c r="O113">
        <v>18.010000000000002</v>
      </c>
      <c r="P113">
        <v>389</v>
      </c>
      <c r="Q113">
        <v>25.48</v>
      </c>
      <c r="R113">
        <v>190</v>
      </c>
      <c r="S113">
        <v>7.95</v>
      </c>
    </row>
    <row r="114" spans="1:19" x14ac:dyDescent="0.2">
      <c r="A114" s="1">
        <v>45597</v>
      </c>
      <c r="B114" s="1">
        <v>45688</v>
      </c>
      <c r="C114">
        <v>2024</v>
      </c>
      <c r="D114">
        <v>11</v>
      </c>
      <c r="E114">
        <v>4</v>
      </c>
      <c r="F114" t="s">
        <v>5</v>
      </c>
      <c r="G114" t="s">
        <v>2</v>
      </c>
      <c r="H114">
        <v>52</v>
      </c>
      <c r="I114">
        <v>40.54</v>
      </c>
      <c r="J114">
        <v>400000</v>
      </c>
      <c r="K114">
        <v>9.59</v>
      </c>
      <c r="L114">
        <v>41</v>
      </c>
      <c r="M114">
        <v>2250</v>
      </c>
      <c r="N114">
        <v>50</v>
      </c>
      <c r="O114">
        <v>11.11</v>
      </c>
      <c r="P114">
        <v>89</v>
      </c>
      <c r="Q114">
        <v>17.11</v>
      </c>
      <c r="R114">
        <v>56</v>
      </c>
      <c r="S114">
        <v>30.23</v>
      </c>
    </row>
    <row r="115" spans="1:19" x14ac:dyDescent="0.2">
      <c r="A115" s="1">
        <v>45597</v>
      </c>
      <c r="B115" s="1">
        <v>45688</v>
      </c>
      <c r="C115">
        <v>2024</v>
      </c>
      <c r="D115">
        <v>11</v>
      </c>
      <c r="E115">
        <v>4</v>
      </c>
      <c r="F115" t="s">
        <v>5</v>
      </c>
      <c r="G115" t="s">
        <v>4</v>
      </c>
      <c r="H115">
        <v>12</v>
      </c>
      <c r="I115">
        <v>20</v>
      </c>
      <c r="J115">
        <v>486750</v>
      </c>
      <c r="K115">
        <v>17.29</v>
      </c>
      <c r="L115">
        <v>47</v>
      </c>
      <c r="M115">
        <v>2000</v>
      </c>
      <c r="N115">
        <v>14</v>
      </c>
      <c r="O115">
        <v>600</v>
      </c>
      <c r="P115">
        <v>21</v>
      </c>
      <c r="Q115">
        <v>110</v>
      </c>
      <c r="R115">
        <v>9</v>
      </c>
      <c r="S115">
        <v>28.57</v>
      </c>
    </row>
    <row r="116" spans="1:19" x14ac:dyDescent="0.2">
      <c r="A116" s="1">
        <v>45597</v>
      </c>
      <c r="B116" s="1">
        <v>45688</v>
      </c>
      <c r="C116">
        <v>2024</v>
      </c>
      <c r="D116">
        <v>11</v>
      </c>
      <c r="E116">
        <v>4</v>
      </c>
      <c r="F116" t="s">
        <v>5</v>
      </c>
      <c r="G116" t="s">
        <v>3</v>
      </c>
      <c r="H116">
        <v>9</v>
      </c>
      <c r="I116">
        <v>-10</v>
      </c>
      <c r="J116">
        <v>420000</v>
      </c>
      <c r="K116">
        <v>-12.41</v>
      </c>
      <c r="L116">
        <v>15</v>
      </c>
      <c r="M116">
        <v>-5650</v>
      </c>
      <c r="N116">
        <v>14</v>
      </c>
      <c r="O116">
        <v>133.33000000000001</v>
      </c>
      <c r="P116">
        <v>18</v>
      </c>
      <c r="Q116">
        <v>5.88</v>
      </c>
      <c r="R116">
        <v>10</v>
      </c>
      <c r="S116">
        <v>11.11</v>
      </c>
    </row>
    <row r="117" spans="1:19" x14ac:dyDescent="0.2">
      <c r="A117" s="1">
        <v>45597</v>
      </c>
      <c r="B117" s="1">
        <v>45688</v>
      </c>
      <c r="C117">
        <v>2024</v>
      </c>
      <c r="D117">
        <v>11</v>
      </c>
      <c r="E117">
        <v>4</v>
      </c>
      <c r="F117" t="s">
        <v>5</v>
      </c>
      <c r="G117" t="s">
        <v>1</v>
      </c>
      <c r="H117">
        <v>81</v>
      </c>
      <c r="I117">
        <v>15.71</v>
      </c>
      <c r="J117">
        <v>489390</v>
      </c>
      <c r="K117">
        <v>-1.1299999999999999</v>
      </c>
      <c r="L117">
        <v>35</v>
      </c>
      <c r="M117">
        <v>-1400</v>
      </c>
      <c r="N117">
        <v>86</v>
      </c>
      <c r="O117">
        <v>3.61</v>
      </c>
      <c r="P117">
        <v>164</v>
      </c>
      <c r="Q117">
        <v>5.13</v>
      </c>
      <c r="R117">
        <v>77</v>
      </c>
      <c r="S117">
        <v>-7.23</v>
      </c>
    </row>
    <row r="118" spans="1:19" x14ac:dyDescent="0.2">
      <c r="A118" s="1">
        <v>45597</v>
      </c>
      <c r="B118" s="1">
        <v>45688</v>
      </c>
      <c r="C118">
        <v>2024</v>
      </c>
      <c r="D118">
        <v>11</v>
      </c>
      <c r="E118">
        <v>4</v>
      </c>
      <c r="F118" t="s">
        <v>5</v>
      </c>
      <c r="G118" t="s">
        <v>0</v>
      </c>
      <c r="H118">
        <v>174</v>
      </c>
      <c r="I118">
        <v>20</v>
      </c>
      <c r="J118">
        <v>414000</v>
      </c>
      <c r="K118">
        <v>4.8099999999999996</v>
      </c>
      <c r="L118">
        <v>58</v>
      </c>
      <c r="M118">
        <v>1500</v>
      </c>
      <c r="N118">
        <v>159</v>
      </c>
      <c r="O118">
        <v>-9.14</v>
      </c>
      <c r="P118">
        <v>378</v>
      </c>
      <c r="Q118">
        <v>21.54</v>
      </c>
      <c r="R118">
        <v>178</v>
      </c>
      <c r="S118">
        <v>3.49</v>
      </c>
    </row>
    <row r="119" spans="1:19" x14ac:dyDescent="0.2">
      <c r="A119" s="1">
        <v>45627</v>
      </c>
      <c r="B119" s="1">
        <v>45716</v>
      </c>
      <c r="C119">
        <v>2024</v>
      </c>
      <c r="D119">
        <v>12</v>
      </c>
      <c r="E119">
        <v>4</v>
      </c>
      <c r="F119" t="s">
        <v>5</v>
      </c>
      <c r="G119" t="s">
        <v>2</v>
      </c>
      <c r="H119">
        <v>56</v>
      </c>
      <c r="I119">
        <v>60</v>
      </c>
      <c r="J119">
        <v>397500</v>
      </c>
      <c r="K119">
        <v>6.85</v>
      </c>
      <c r="L119">
        <v>41</v>
      </c>
      <c r="M119">
        <v>1650</v>
      </c>
      <c r="N119">
        <v>55</v>
      </c>
      <c r="O119">
        <v>1.85</v>
      </c>
      <c r="P119">
        <v>91</v>
      </c>
      <c r="Q119">
        <v>10.98</v>
      </c>
      <c r="R119">
        <v>62</v>
      </c>
      <c r="S119">
        <v>14.81</v>
      </c>
    </row>
    <row r="120" spans="1:19" x14ac:dyDescent="0.2">
      <c r="A120" s="1">
        <v>45627</v>
      </c>
      <c r="B120" s="1">
        <v>45716</v>
      </c>
      <c r="C120">
        <v>2024</v>
      </c>
      <c r="D120">
        <v>12</v>
      </c>
      <c r="E120">
        <v>4</v>
      </c>
      <c r="F120" t="s">
        <v>5</v>
      </c>
      <c r="G120" t="s">
        <v>4</v>
      </c>
      <c r="H120">
        <v>10</v>
      </c>
      <c r="I120">
        <v>66.67</v>
      </c>
      <c r="J120">
        <v>486750</v>
      </c>
      <c r="K120">
        <v>-13.72</v>
      </c>
      <c r="L120">
        <v>25</v>
      </c>
      <c r="M120">
        <v>-1600</v>
      </c>
      <c r="N120">
        <v>16</v>
      </c>
      <c r="O120">
        <v>166.67</v>
      </c>
      <c r="P120">
        <v>21</v>
      </c>
      <c r="Q120">
        <v>75</v>
      </c>
      <c r="R120">
        <v>8</v>
      </c>
      <c r="S120">
        <v>33.33</v>
      </c>
    </row>
    <row r="121" spans="1:19" x14ac:dyDescent="0.2">
      <c r="A121" s="1">
        <v>45627</v>
      </c>
      <c r="B121" s="1">
        <v>45716</v>
      </c>
      <c r="C121">
        <v>2024</v>
      </c>
      <c r="D121">
        <v>12</v>
      </c>
      <c r="E121">
        <v>4</v>
      </c>
      <c r="F121" t="s">
        <v>5</v>
      </c>
      <c r="G121" t="s">
        <v>3</v>
      </c>
      <c r="H121">
        <v>7</v>
      </c>
      <c r="I121">
        <v>-30</v>
      </c>
      <c r="J121">
        <v>450000</v>
      </c>
      <c r="K121">
        <v>-6.15</v>
      </c>
      <c r="L121">
        <v>14</v>
      </c>
      <c r="M121">
        <v>-5150</v>
      </c>
      <c r="N121">
        <v>17</v>
      </c>
      <c r="O121">
        <v>88.89</v>
      </c>
      <c r="P121">
        <v>22</v>
      </c>
      <c r="Q121">
        <v>37.5</v>
      </c>
      <c r="R121">
        <v>11</v>
      </c>
      <c r="S121">
        <v>-8.33</v>
      </c>
    </row>
    <row r="122" spans="1:19" x14ac:dyDescent="0.2">
      <c r="A122" s="1">
        <v>45627</v>
      </c>
      <c r="B122" s="1">
        <v>45716</v>
      </c>
      <c r="C122">
        <v>2024</v>
      </c>
      <c r="D122">
        <v>12</v>
      </c>
      <c r="E122">
        <v>4</v>
      </c>
      <c r="F122" t="s">
        <v>5</v>
      </c>
      <c r="G122" t="s">
        <v>1</v>
      </c>
      <c r="H122">
        <v>67</v>
      </c>
      <c r="I122">
        <v>-17.28</v>
      </c>
      <c r="J122">
        <v>490636</v>
      </c>
      <c r="K122">
        <v>1.1599999999999999</v>
      </c>
      <c r="L122">
        <v>40</v>
      </c>
      <c r="M122">
        <v>-500</v>
      </c>
      <c r="N122">
        <v>92</v>
      </c>
      <c r="O122">
        <v>-8.91</v>
      </c>
      <c r="P122">
        <v>164</v>
      </c>
      <c r="Q122">
        <v>-1.8</v>
      </c>
      <c r="R122">
        <v>74</v>
      </c>
      <c r="S122">
        <v>-20.43</v>
      </c>
    </row>
    <row r="123" spans="1:19" x14ac:dyDescent="0.2">
      <c r="A123" s="1">
        <v>45627</v>
      </c>
      <c r="B123" s="1">
        <v>45716</v>
      </c>
      <c r="C123">
        <v>2024</v>
      </c>
      <c r="D123">
        <v>12</v>
      </c>
      <c r="E123">
        <v>4</v>
      </c>
      <c r="F123" t="s">
        <v>5</v>
      </c>
      <c r="G123" t="s">
        <v>0</v>
      </c>
      <c r="H123">
        <v>154</v>
      </c>
      <c r="I123">
        <v>-4.3499999999999996</v>
      </c>
      <c r="J123">
        <v>418500</v>
      </c>
      <c r="K123">
        <v>5.95</v>
      </c>
      <c r="L123">
        <v>57</v>
      </c>
      <c r="M123">
        <v>1400</v>
      </c>
      <c r="N123">
        <v>180</v>
      </c>
      <c r="O123">
        <v>-0.55000000000000004</v>
      </c>
      <c r="P123">
        <v>373</v>
      </c>
      <c r="Q123">
        <v>16.2</v>
      </c>
      <c r="R123">
        <v>165</v>
      </c>
      <c r="S123">
        <v>-17.09</v>
      </c>
    </row>
    <row r="124" spans="1:19" x14ac:dyDescent="0.2">
      <c r="A124" s="1">
        <v>45658</v>
      </c>
      <c r="B124" s="1">
        <v>45747</v>
      </c>
      <c r="C124">
        <v>2025</v>
      </c>
      <c r="D124">
        <v>1</v>
      </c>
      <c r="E124">
        <v>1</v>
      </c>
      <c r="F124" t="s">
        <v>5</v>
      </c>
      <c r="G124" t="s">
        <v>2</v>
      </c>
      <c r="H124">
        <v>54</v>
      </c>
      <c r="I124">
        <v>22.73</v>
      </c>
      <c r="J124">
        <v>409750</v>
      </c>
      <c r="K124">
        <v>10.44</v>
      </c>
      <c r="L124">
        <v>32</v>
      </c>
      <c r="M124">
        <v>900</v>
      </c>
      <c r="N124">
        <v>58</v>
      </c>
      <c r="O124">
        <v>-23.68</v>
      </c>
      <c r="P124">
        <v>92</v>
      </c>
      <c r="Q124">
        <v>-13.21</v>
      </c>
      <c r="R124">
        <v>62</v>
      </c>
      <c r="S124">
        <v>3.33</v>
      </c>
    </row>
    <row r="125" spans="1:19" x14ac:dyDescent="0.2">
      <c r="A125" s="1">
        <v>45658</v>
      </c>
      <c r="B125" s="1">
        <v>45747</v>
      </c>
      <c r="C125">
        <v>2025</v>
      </c>
      <c r="D125">
        <v>1</v>
      </c>
      <c r="E125">
        <v>1</v>
      </c>
      <c r="F125" t="s">
        <v>5</v>
      </c>
      <c r="G125" t="s">
        <v>4</v>
      </c>
      <c r="H125">
        <v>5</v>
      </c>
      <c r="I125">
        <v>-28.57</v>
      </c>
      <c r="J125">
        <v>565000</v>
      </c>
      <c r="K125">
        <v>0.89</v>
      </c>
      <c r="L125">
        <v>11</v>
      </c>
      <c r="M125">
        <v>-7400</v>
      </c>
      <c r="N125">
        <v>18</v>
      </c>
      <c r="O125">
        <v>157.13999999999999</v>
      </c>
      <c r="P125">
        <v>24</v>
      </c>
      <c r="Q125">
        <v>84.62</v>
      </c>
      <c r="R125">
        <v>10</v>
      </c>
      <c r="S125">
        <v>42.86</v>
      </c>
    </row>
    <row r="126" spans="1:19" x14ac:dyDescent="0.2">
      <c r="A126" s="1">
        <v>45658</v>
      </c>
      <c r="B126" s="1">
        <v>45747</v>
      </c>
      <c r="C126">
        <v>2025</v>
      </c>
      <c r="D126">
        <v>1</v>
      </c>
      <c r="E126">
        <v>1</v>
      </c>
      <c r="F126" t="s">
        <v>5</v>
      </c>
      <c r="G126" t="s">
        <v>3</v>
      </c>
      <c r="H126">
        <v>10</v>
      </c>
      <c r="I126">
        <v>0</v>
      </c>
      <c r="J126">
        <v>414000</v>
      </c>
      <c r="K126">
        <v>-7.49</v>
      </c>
      <c r="L126">
        <v>38</v>
      </c>
      <c r="M126">
        <v>1850</v>
      </c>
      <c r="N126">
        <v>17</v>
      </c>
      <c r="O126">
        <v>30.77</v>
      </c>
      <c r="P126">
        <v>24</v>
      </c>
      <c r="Q126">
        <v>50</v>
      </c>
      <c r="R126">
        <v>11</v>
      </c>
      <c r="S126">
        <v>22.22</v>
      </c>
    </row>
    <row r="127" spans="1:19" x14ac:dyDescent="0.2">
      <c r="A127" s="1">
        <v>45658</v>
      </c>
      <c r="B127" s="1">
        <v>45747</v>
      </c>
      <c r="C127">
        <v>2025</v>
      </c>
      <c r="D127">
        <v>1</v>
      </c>
      <c r="E127">
        <v>1</v>
      </c>
      <c r="F127" t="s">
        <v>5</v>
      </c>
      <c r="G127" t="s">
        <v>1</v>
      </c>
      <c r="H127">
        <v>69</v>
      </c>
      <c r="I127">
        <v>-17.86</v>
      </c>
      <c r="J127">
        <v>474200</v>
      </c>
      <c r="K127">
        <v>0.36</v>
      </c>
      <c r="L127">
        <v>47</v>
      </c>
      <c r="M127">
        <v>550</v>
      </c>
      <c r="N127">
        <v>112</v>
      </c>
      <c r="O127">
        <v>-5.88</v>
      </c>
      <c r="P127">
        <v>182</v>
      </c>
      <c r="Q127">
        <v>3.41</v>
      </c>
      <c r="R127">
        <v>89</v>
      </c>
      <c r="S127">
        <v>-8.25</v>
      </c>
    </row>
    <row r="128" spans="1:19" x14ac:dyDescent="0.2">
      <c r="A128" s="1">
        <v>45658</v>
      </c>
      <c r="B128" s="1">
        <v>45747</v>
      </c>
      <c r="C128">
        <v>2025</v>
      </c>
      <c r="D128">
        <v>1</v>
      </c>
      <c r="E128">
        <v>1</v>
      </c>
      <c r="F128" t="s">
        <v>5</v>
      </c>
      <c r="G128" t="s">
        <v>0</v>
      </c>
      <c r="H128">
        <v>147</v>
      </c>
      <c r="I128">
        <v>-20.97</v>
      </c>
      <c r="J128">
        <v>407340</v>
      </c>
      <c r="K128">
        <v>2.15</v>
      </c>
      <c r="L128">
        <v>47</v>
      </c>
      <c r="M128">
        <v>1300</v>
      </c>
      <c r="N128">
        <v>241</v>
      </c>
      <c r="O128">
        <v>12.09</v>
      </c>
      <c r="P128">
        <v>418</v>
      </c>
      <c r="Q128">
        <v>23.3</v>
      </c>
      <c r="R128">
        <v>192</v>
      </c>
      <c r="S128">
        <v>-10.7</v>
      </c>
    </row>
    <row r="129" spans="1:19" x14ac:dyDescent="0.2">
      <c r="A129" s="1">
        <v>45689</v>
      </c>
      <c r="B129" s="1">
        <v>45777</v>
      </c>
      <c r="C129">
        <v>2025</v>
      </c>
      <c r="D129">
        <v>2</v>
      </c>
      <c r="E129">
        <v>1</v>
      </c>
      <c r="F129" t="s">
        <v>5</v>
      </c>
      <c r="G129" t="s">
        <v>2</v>
      </c>
      <c r="H129">
        <v>59</v>
      </c>
      <c r="I129">
        <v>-3.28</v>
      </c>
      <c r="J129">
        <v>408000</v>
      </c>
      <c r="K129">
        <v>8.8000000000000007</v>
      </c>
      <c r="L129">
        <v>30</v>
      </c>
      <c r="M129">
        <v>1900</v>
      </c>
      <c r="N129">
        <v>64</v>
      </c>
      <c r="O129">
        <v>-22.89</v>
      </c>
      <c r="P129">
        <v>92</v>
      </c>
      <c r="Q129">
        <v>-18.579999999999998</v>
      </c>
      <c r="R129">
        <v>60</v>
      </c>
      <c r="S129">
        <v>-18.920000000000002</v>
      </c>
    </row>
    <row r="130" spans="1:19" x14ac:dyDescent="0.2">
      <c r="A130" s="1">
        <v>45689</v>
      </c>
      <c r="B130" s="1">
        <v>45777</v>
      </c>
      <c r="C130">
        <v>2025</v>
      </c>
      <c r="D130">
        <v>2</v>
      </c>
      <c r="E130">
        <v>1</v>
      </c>
      <c r="F130" t="s">
        <v>5</v>
      </c>
      <c r="G130" t="s">
        <v>4</v>
      </c>
      <c r="H130">
        <v>8</v>
      </c>
      <c r="I130">
        <v>0</v>
      </c>
      <c r="J130">
        <v>557500</v>
      </c>
      <c r="K130">
        <v>3.72</v>
      </c>
      <c r="L130">
        <v>25</v>
      </c>
      <c r="M130">
        <v>1150</v>
      </c>
      <c r="N130">
        <v>10</v>
      </c>
      <c r="O130">
        <v>11.11</v>
      </c>
      <c r="P130">
        <v>23</v>
      </c>
      <c r="Q130">
        <v>91.67</v>
      </c>
      <c r="R130">
        <v>12</v>
      </c>
      <c r="S130">
        <v>71.430000000000007</v>
      </c>
    </row>
    <row r="131" spans="1:19" x14ac:dyDescent="0.2">
      <c r="A131" s="1">
        <v>45689</v>
      </c>
      <c r="B131" s="1">
        <v>45777</v>
      </c>
      <c r="C131">
        <v>2025</v>
      </c>
      <c r="D131">
        <v>2</v>
      </c>
      <c r="E131">
        <v>1</v>
      </c>
      <c r="F131" t="s">
        <v>5</v>
      </c>
      <c r="G131" t="s">
        <v>3</v>
      </c>
      <c r="H131">
        <v>11</v>
      </c>
      <c r="I131">
        <v>37.5</v>
      </c>
      <c r="J131">
        <v>429000</v>
      </c>
      <c r="K131">
        <v>5.28</v>
      </c>
      <c r="L131">
        <v>26</v>
      </c>
      <c r="M131">
        <v>1250</v>
      </c>
      <c r="N131">
        <v>17</v>
      </c>
      <c r="O131">
        <v>13.33</v>
      </c>
      <c r="P131">
        <v>24</v>
      </c>
      <c r="Q131">
        <v>20</v>
      </c>
      <c r="R131">
        <v>14</v>
      </c>
      <c r="S131">
        <v>-12.5</v>
      </c>
    </row>
    <row r="132" spans="1:19" x14ac:dyDescent="0.2">
      <c r="A132" s="1">
        <v>45689</v>
      </c>
      <c r="B132" s="1">
        <v>45777</v>
      </c>
      <c r="C132">
        <v>2025</v>
      </c>
      <c r="D132">
        <v>2</v>
      </c>
      <c r="E132">
        <v>1</v>
      </c>
      <c r="F132" t="s">
        <v>5</v>
      </c>
      <c r="G132" t="s">
        <v>1</v>
      </c>
      <c r="H132">
        <v>76</v>
      </c>
      <c r="I132">
        <v>-6.17</v>
      </c>
      <c r="J132">
        <v>470000</v>
      </c>
      <c r="K132">
        <v>-2.08</v>
      </c>
      <c r="L132">
        <v>37</v>
      </c>
      <c r="M132">
        <v>650</v>
      </c>
      <c r="N132">
        <v>121</v>
      </c>
      <c r="O132">
        <v>-0.82</v>
      </c>
      <c r="P132">
        <v>202</v>
      </c>
      <c r="Q132">
        <v>16.760000000000002</v>
      </c>
      <c r="R132">
        <v>90</v>
      </c>
      <c r="S132">
        <v>-9.09</v>
      </c>
    </row>
    <row r="133" spans="1:19" x14ac:dyDescent="0.2">
      <c r="A133" s="1">
        <v>45689</v>
      </c>
      <c r="B133" s="1">
        <v>45777</v>
      </c>
      <c r="C133">
        <v>2025</v>
      </c>
      <c r="D133">
        <v>2</v>
      </c>
      <c r="E133">
        <v>1</v>
      </c>
      <c r="F133" t="s">
        <v>5</v>
      </c>
      <c r="G133" t="s">
        <v>0</v>
      </c>
      <c r="H133">
        <v>170</v>
      </c>
      <c r="I133">
        <v>-16.670000000000002</v>
      </c>
      <c r="J133">
        <v>410000</v>
      </c>
      <c r="K133">
        <v>3.8</v>
      </c>
      <c r="L133">
        <v>39</v>
      </c>
      <c r="M133">
        <v>1100</v>
      </c>
      <c r="N133">
        <v>278</v>
      </c>
      <c r="O133">
        <v>13.01</v>
      </c>
      <c r="P133">
        <v>450</v>
      </c>
      <c r="Q133">
        <v>18.73</v>
      </c>
      <c r="R133">
        <v>212</v>
      </c>
      <c r="S133">
        <v>-10.55</v>
      </c>
    </row>
    <row r="134" spans="1:19" x14ac:dyDescent="0.2">
      <c r="A134" s="1">
        <v>45717</v>
      </c>
      <c r="B134" s="1">
        <v>45808</v>
      </c>
      <c r="C134">
        <v>2025</v>
      </c>
      <c r="D134">
        <v>3</v>
      </c>
      <c r="E134">
        <v>1</v>
      </c>
      <c r="F134" t="s">
        <v>5</v>
      </c>
      <c r="G134" t="s">
        <v>2</v>
      </c>
      <c r="H134">
        <v>54</v>
      </c>
      <c r="I134">
        <v>-16.920000000000002</v>
      </c>
      <c r="J134">
        <v>425000</v>
      </c>
      <c r="K134">
        <v>6.25</v>
      </c>
      <c r="L134">
        <v>22</v>
      </c>
      <c r="M134">
        <v>750</v>
      </c>
      <c r="N134">
        <v>77</v>
      </c>
      <c r="O134">
        <v>-7.23</v>
      </c>
      <c r="P134">
        <v>101</v>
      </c>
      <c r="Q134">
        <v>-12.93</v>
      </c>
      <c r="R134">
        <v>57</v>
      </c>
      <c r="S134">
        <v>-21.92</v>
      </c>
    </row>
    <row r="135" spans="1:19" x14ac:dyDescent="0.2">
      <c r="A135" s="1">
        <v>45717</v>
      </c>
      <c r="B135" s="1">
        <v>45808</v>
      </c>
      <c r="C135">
        <v>2025</v>
      </c>
      <c r="D135">
        <v>3</v>
      </c>
      <c r="E135">
        <v>1</v>
      </c>
      <c r="F135" t="s">
        <v>5</v>
      </c>
      <c r="G135" t="s">
        <v>4</v>
      </c>
      <c r="H135">
        <v>12</v>
      </c>
      <c r="I135">
        <v>33.33</v>
      </c>
      <c r="J135">
        <v>537500</v>
      </c>
      <c r="K135">
        <v>-23.21</v>
      </c>
      <c r="L135">
        <v>47</v>
      </c>
      <c r="M135">
        <v>-50</v>
      </c>
      <c r="N135">
        <v>8</v>
      </c>
      <c r="O135">
        <v>33.33</v>
      </c>
      <c r="P135">
        <v>21</v>
      </c>
      <c r="Q135">
        <v>90.91</v>
      </c>
      <c r="R135">
        <v>11</v>
      </c>
      <c r="S135">
        <v>22.22</v>
      </c>
    </row>
    <row r="136" spans="1:19" x14ac:dyDescent="0.2">
      <c r="A136" s="1">
        <v>45717</v>
      </c>
      <c r="B136" s="1">
        <v>45808</v>
      </c>
      <c r="C136">
        <v>2025</v>
      </c>
      <c r="D136">
        <v>3</v>
      </c>
      <c r="E136">
        <v>1</v>
      </c>
      <c r="F136" t="s">
        <v>5</v>
      </c>
      <c r="G136" t="s">
        <v>3</v>
      </c>
      <c r="H136">
        <v>13</v>
      </c>
      <c r="I136">
        <v>-7.14</v>
      </c>
      <c r="J136">
        <v>429000</v>
      </c>
      <c r="K136">
        <v>-0.81</v>
      </c>
      <c r="L136">
        <v>30</v>
      </c>
      <c r="M136">
        <v>1400</v>
      </c>
      <c r="N136">
        <v>13</v>
      </c>
      <c r="O136">
        <v>-13.33</v>
      </c>
      <c r="P136">
        <v>23</v>
      </c>
      <c r="Q136">
        <v>21.05</v>
      </c>
      <c r="R136">
        <v>12</v>
      </c>
      <c r="S136">
        <v>-29.41</v>
      </c>
    </row>
    <row r="137" spans="1:19" x14ac:dyDescent="0.2">
      <c r="A137" s="1">
        <v>45717</v>
      </c>
      <c r="B137" s="1">
        <v>45808</v>
      </c>
      <c r="C137">
        <v>2025</v>
      </c>
      <c r="D137">
        <v>3</v>
      </c>
      <c r="E137">
        <v>1</v>
      </c>
      <c r="F137" t="s">
        <v>5</v>
      </c>
      <c r="G137" t="s">
        <v>1</v>
      </c>
      <c r="H137">
        <v>87</v>
      </c>
      <c r="I137">
        <v>-1.1399999999999999</v>
      </c>
      <c r="J137">
        <v>477000</v>
      </c>
      <c r="K137">
        <v>-0.62</v>
      </c>
      <c r="L137">
        <v>35</v>
      </c>
      <c r="M137">
        <v>1200</v>
      </c>
      <c r="N137">
        <v>152</v>
      </c>
      <c r="O137">
        <v>22.58</v>
      </c>
      <c r="P137">
        <v>234</v>
      </c>
      <c r="Q137">
        <v>32.950000000000003</v>
      </c>
      <c r="R137">
        <v>109</v>
      </c>
      <c r="S137">
        <v>4.8099999999999996</v>
      </c>
    </row>
    <row r="138" spans="1:19" x14ac:dyDescent="0.2">
      <c r="A138" s="1">
        <v>45717</v>
      </c>
      <c r="B138" s="1">
        <v>45808</v>
      </c>
      <c r="C138">
        <v>2025</v>
      </c>
      <c r="D138">
        <v>3</v>
      </c>
      <c r="E138">
        <v>1</v>
      </c>
      <c r="F138" t="s">
        <v>5</v>
      </c>
      <c r="G138" t="s">
        <v>0</v>
      </c>
      <c r="H138">
        <v>199</v>
      </c>
      <c r="I138">
        <v>-2.93</v>
      </c>
      <c r="J138">
        <v>400000</v>
      </c>
      <c r="K138">
        <v>1.91</v>
      </c>
      <c r="L138">
        <v>36</v>
      </c>
      <c r="M138">
        <v>1100</v>
      </c>
      <c r="N138">
        <v>314</v>
      </c>
      <c r="O138">
        <v>14.6</v>
      </c>
      <c r="P138">
        <v>499</v>
      </c>
      <c r="Q138">
        <v>29.61</v>
      </c>
      <c r="R138">
        <v>235</v>
      </c>
      <c r="S138">
        <v>0.43</v>
      </c>
    </row>
    <row r="139" spans="1:19" x14ac:dyDescent="0.2">
      <c r="A139" s="1">
        <v>45748</v>
      </c>
      <c r="B139" s="1">
        <v>45838</v>
      </c>
      <c r="C139">
        <v>2025</v>
      </c>
      <c r="D139">
        <v>4</v>
      </c>
      <c r="E139">
        <v>2</v>
      </c>
      <c r="F139" t="s">
        <v>5</v>
      </c>
      <c r="G139" t="s">
        <v>2</v>
      </c>
      <c r="H139">
        <v>47</v>
      </c>
      <c r="I139">
        <v>-27.69</v>
      </c>
      <c r="J139">
        <v>439000</v>
      </c>
      <c r="K139">
        <v>5.78</v>
      </c>
      <c r="L139">
        <v>24</v>
      </c>
      <c r="M139">
        <v>400</v>
      </c>
      <c r="N139">
        <v>83</v>
      </c>
      <c r="O139">
        <v>15.28</v>
      </c>
      <c r="P139">
        <v>114</v>
      </c>
      <c r="Q139">
        <v>0.88</v>
      </c>
      <c r="R139">
        <v>64</v>
      </c>
      <c r="S139">
        <v>-15.79</v>
      </c>
    </row>
    <row r="140" spans="1:19" x14ac:dyDescent="0.2">
      <c r="A140" s="1">
        <v>45748</v>
      </c>
      <c r="B140" s="1">
        <v>45838</v>
      </c>
      <c r="C140">
        <v>2025</v>
      </c>
      <c r="D140">
        <v>4</v>
      </c>
      <c r="E140">
        <v>2</v>
      </c>
      <c r="F140" t="s">
        <v>5</v>
      </c>
      <c r="G140" t="s">
        <v>4</v>
      </c>
      <c r="H140">
        <v>11</v>
      </c>
      <c r="I140">
        <v>57.14</v>
      </c>
      <c r="J140">
        <v>525000</v>
      </c>
      <c r="K140">
        <v>-25</v>
      </c>
      <c r="L140">
        <v>52</v>
      </c>
      <c r="M140">
        <v>3450</v>
      </c>
      <c r="N140">
        <v>4</v>
      </c>
      <c r="O140">
        <v>-42.86</v>
      </c>
      <c r="P140">
        <v>18</v>
      </c>
      <c r="Q140">
        <v>63.64</v>
      </c>
      <c r="R140">
        <v>8</v>
      </c>
      <c r="S140">
        <v>-11.11</v>
      </c>
    </row>
    <row r="141" spans="1:19" x14ac:dyDescent="0.2">
      <c r="A141" s="1">
        <v>45748</v>
      </c>
      <c r="B141" s="1">
        <v>45838</v>
      </c>
      <c r="C141">
        <v>2025</v>
      </c>
      <c r="D141">
        <v>4</v>
      </c>
      <c r="E141">
        <v>2</v>
      </c>
      <c r="F141" t="s">
        <v>5</v>
      </c>
      <c r="G141" t="s">
        <v>3</v>
      </c>
      <c r="H141">
        <v>10</v>
      </c>
      <c r="I141">
        <v>-33.33</v>
      </c>
      <c r="J141">
        <v>457500</v>
      </c>
      <c r="K141">
        <v>12.96</v>
      </c>
      <c r="L141">
        <v>16</v>
      </c>
      <c r="M141">
        <v>-50</v>
      </c>
      <c r="N141">
        <v>16</v>
      </c>
      <c r="O141">
        <v>23.08</v>
      </c>
      <c r="P141">
        <v>29</v>
      </c>
      <c r="Q141">
        <v>31.82</v>
      </c>
      <c r="R141">
        <v>8</v>
      </c>
      <c r="S141">
        <v>-55.56</v>
      </c>
    </row>
    <row r="142" spans="1:19" x14ac:dyDescent="0.2">
      <c r="A142" s="1">
        <v>45748</v>
      </c>
      <c r="B142" s="1">
        <v>45838</v>
      </c>
      <c r="C142">
        <v>2025</v>
      </c>
      <c r="D142">
        <v>4</v>
      </c>
      <c r="E142">
        <v>2</v>
      </c>
      <c r="F142" t="s">
        <v>5</v>
      </c>
      <c r="G142" t="s">
        <v>1</v>
      </c>
      <c r="H142">
        <v>87</v>
      </c>
      <c r="I142">
        <v>-5.43</v>
      </c>
      <c r="J142">
        <v>479000</v>
      </c>
      <c r="K142">
        <v>1.1599999999999999</v>
      </c>
      <c r="L142">
        <v>30</v>
      </c>
      <c r="M142">
        <v>600</v>
      </c>
      <c r="N142">
        <v>166</v>
      </c>
      <c r="O142">
        <v>40.68</v>
      </c>
      <c r="P142">
        <v>247</v>
      </c>
      <c r="Q142">
        <v>37.22</v>
      </c>
      <c r="R142">
        <v>103</v>
      </c>
      <c r="S142">
        <v>0</v>
      </c>
    </row>
    <row r="143" spans="1:19" x14ac:dyDescent="0.2">
      <c r="A143" s="1">
        <v>45748</v>
      </c>
      <c r="B143" s="1">
        <v>45838</v>
      </c>
      <c r="C143">
        <v>2025</v>
      </c>
      <c r="D143">
        <v>4</v>
      </c>
      <c r="E143">
        <v>2</v>
      </c>
      <c r="F143" t="s">
        <v>5</v>
      </c>
      <c r="G143" t="s">
        <v>0</v>
      </c>
      <c r="H143">
        <v>205</v>
      </c>
      <c r="I143">
        <v>-2.84</v>
      </c>
      <c r="J143">
        <v>410000</v>
      </c>
      <c r="K143">
        <v>1.8</v>
      </c>
      <c r="L143">
        <v>37</v>
      </c>
      <c r="M143">
        <v>1100</v>
      </c>
      <c r="N143">
        <v>298</v>
      </c>
      <c r="O143">
        <v>-1</v>
      </c>
      <c r="P143">
        <v>493</v>
      </c>
      <c r="Q143">
        <v>17.940000000000001</v>
      </c>
      <c r="R143">
        <v>241</v>
      </c>
      <c r="S143">
        <v>0.84</v>
      </c>
    </row>
    <row r="144" spans="1:19" x14ac:dyDescent="0.2">
      <c r="A144" s="1">
        <v>45778</v>
      </c>
      <c r="B144" s="1">
        <v>45869</v>
      </c>
      <c r="C144">
        <v>2025</v>
      </c>
      <c r="D144">
        <v>5</v>
      </c>
      <c r="E144">
        <v>2</v>
      </c>
      <c r="F144" t="s">
        <v>5</v>
      </c>
      <c r="G144" t="s">
        <v>2</v>
      </c>
      <c r="H144">
        <v>53</v>
      </c>
      <c r="I144">
        <v>-5.36</v>
      </c>
      <c r="J144">
        <v>455000</v>
      </c>
      <c r="K144">
        <v>8.59</v>
      </c>
      <c r="L144">
        <v>24</v>
      </c>
      <c r="M144">
        <v>-900</v>
      </c>
      <c r="N144">
        <v>77</v>
      </c>
      <c r="O144">
        <v>2.67</v>
      </c>
      <c r="P144">
        <v>111</v>
      </c>
      <c r="Q144">
        <v>-2.63</v>
      </c>
      <c r="R144">
        <v>59</v>
      </c>
      <c r="S144">
        <v>-15.71</v>
      </c>
    </row>
    <row r="145" spans="1:19" x14ac:dyDescent="0.2">
      <c r="A145" s="1">
        <v>45778</v>
      </c>
      <c r="B145" s="1">
        <v>45869</v>
      </c>
      <c r="C145">
        <v>2025</v>
      </c>
      <c r="D145">
        <v>5</v>
      </c>
      <c r="E145">
        <v>2</v>
      </c>
      <c r="F145" t="s">
        <v>5</v>
      </c>
      <c r="G145" t="s">
        <v>4</v>
      </c>
      <c r="H145">
        <v>9</v>
      </c>
      <c r="I145">
        <v>28.57</v>
      </c>
      <c r="J145">
        <v>500000</v>
      </c>
      <c r="K145">
        <v>-16.510000000000002</v>
      </c>
      <c r="L145">
        <v>98</v>
      </c>
      <c r="M145">
        <v>4900</v>
      </c>
      <c r="N145">
        <v>9</v>
      </c>
      <c r="O145">
        <v>-10</v>
      </c>
      <c r="P145">
        <v>20</v>
      </c>
      <c r="Q145">
        <v>25</v>
      </c>
      <c r="R145">
        <v>10</v>
      </c>
      <c r="S145">
        <v>11.11</v>
      </c>
    </row>
    <row r="146" spans="1:19" x14ac:dyDescent="0.2">
      <c r="A146" s="1">
        <v>45778</v>
      </c>
      <c r="B146" s="1">
        <v>45869</v>
      </c>
      <c r="C146">
        <v>2025</v>
      </c>
      <c r="D146">
        <v>5</v>
      </c>
      <c r="E146">
        <v>2</v>
      </c>
      <c r="F146" t="s">
        <v>5</v>
      </c>
      <c r="G146" t="s">
        <v>3</v>
      </c>
      <c r="H146">
        <v>10</v>
      </c>
      <c r="I146">
        <v>-37.5</v>
      </c>
      <c r="J146">
        <v>450000</v>
      </c>
      <c r="K146">
        <v>7.78</v>
      </c>
      <c r="L146">
        <v>19</v>
      </c>
      <c r="M146">
        <v>150</v>
      </c>
      <c r="N146">
        <v>16</v>
      </c>
      <c r="O146">
        <v>77.78</v>
      </c>
      <c r="P146">
        <v>24</v>
      </c>
      <c r="Q146">
        <v>60</v>
      </c>
      <c r="R146">
        <v>5</v>
      </c>
      <c r="S146">
        <v>-50</v>
      </c>
    </row>
    <row r="147" spans="1:19" x14ac:dyDescent="0.2">
      <c r="A147" s="1">
        <v>45778</v>
      </c>
      <c r="B147" s="1">
        <v>45869</v>
      </c>
      <c r="C147">
        <v>2025</v>
      </c>
      <c r="D147">
        <v>5</v>
      </c>
      <c r="E147">
        <v>2</v>
      </c>
      <c r="F147" t="s">
        <v>5</v>
      </c>
      <c r="G147" t="s">
        <v>1</v>
      </c>
      <c r="H147">
        <v>92</v>
      </c>
      <c r="I147">
        <v>-4.17</v>
      </c>
      <c r="J147">
        <v>479500</v>
      </c>
      <c r="K147">
        <v>3.12</v>
      </c>
      <c r="L147">
        <v>32</v>
      </c>
      <c r="M147">
        <v>350</v>
      </c>
      <c r="N147">
        <v>155</v>
      </c>
      <c r="O147">
        <v>29.17</v>
      </c>
      <c r="P147">
        <v>239</v>
      </c>
      <c r="Q147">
        <v>25.13</v>
      </c>
      <c r="R147">
        <v>115</v>
      </c>
      <c r="S147">
        <v>4.55</v>
      </c>
    </row>
    <row r="148" spans="1:19" x14ac:dyDescent="0.2">
      <c r="A148" s="1">
        <v>45778</v>
      </c>
      <c r="B148" s="1">
        <v>45869</v>
      </c>
      <c r="C148">
        <v>2025</v>
      </c>
      <c r="D148">
        <v>5</v>
      </c>
      <c r="E148">
        <v>2</v>
      </c>
      <c r="F148" t="s">
        <v>5</v>
      </c>
      <c r="G148" t="s">
        <v>0</v>
      </c>
      <c r="H148">
        <v>209</v>
      </c>
      <c r="I148">
        <v>-5.43</v>
      </c>
      <c r="J148">
        <v>415000</v>
      </c>
      <c r="K148">
        <v>1.9</v>
      </c>
      <c r="L148">
        <v>36</v>
      </c>
      <c r="M148">
        <v>1500</v>
      </c>
      <c r="N148">
        <v>278</v>
      </c>
      <c r="O148">
        <v>1.83</v>
      </c>
      <c r="P148">
        <v>492</v>
      </c>
      <c r="Q148">
        <v>18.27</v>
      </c>
      <c r="R148">
        <v>246</v>
      </c>
      <c r="S148">
        <v>6.49</v>
      </c>
    </row>
    <row r="149" spans="1:19" x14ac:dyDescent="0.2">
      <c r="A149" s="1">
        <v>45809</v>
      </c>
      <c r="B149" s="1">
        <v>45900</v>
      </c>
      <c r="C149">
        <v>2025</v>
      </c>
      <c r="D149">
        <v>6</v>
      </c>
      <c r="E149">
        <v>2</v>
      </c>
      <c r="F149" t="s">
        <v>5</v>
      </c>
      <c r="G149" t="s">
        <v>2</v>
      </c>
      <c r="H149">
        <v>56</v>
      </c>
      <c r="I149">
        <v>-20</v>
      </c>
      <c r="J149">
        <v>443500</v>
      </c>
      <c r="K149">
        <v>6.87</v>
      </c>
      <c r="L149">
        <v>34</v>
      </c>
      <c r="M149">
        <v>200</v>
      </c>
      <c r="N149">
        <v>60</v>
      </c>
      <c r="O149">
        <v>-10.45</v>
      </c>
      <c r="P149">
        <v>109</v>
      </c>
      <c r="Q149">
        <v>3.81</v>
      </c>
      <c r="R149">
        <v>58</v>
      </c>
      <c r="S149">
        <v>-17.14</v>
      </c>
    </row>
    <row r="150" spans="1:19" x14ac:dyDescent="0.2">
      <c r="A150" s="1">
        <v>45809</v>
      </c>
      <c r="B150" s="1">
        <v>45900</v>
      </c>
      <c r="C150">
        <v>2025</v>
      </c>
      <c r="D150">
        <v>6</v>
      </c>
      <c r="E150">
        <v>2</v>
      </c>
      <c r="F150" t="s">
        <v>5</v>
      </c>
      <c r="G150" t="s">
        <v>4</v>
      </c>
      <c r="H150">
        <v>6</v>
      </c>
      <c r="I150">
        <v>-40</v>
      </c>
      <c r="J150">
        <v>618160</v>
      </c>
      <c r="K150">
        <v>29.46</v>
      </c>
      <c r="L150">
        <v>72</v>
      </c>
      <c r="M150">
        <v>5900</v>
      </c>
      <c r="N150">
        <v>7</v>
      </c>
      <c r="O150">
        <v>-46.15</v>
      </c>
      <c r="P150">
        <v>17</v>
      </c>
      <c r="Q150">
        <v>-5.56</v>
      </c>
      <c r="R150">
        <v>9</v>
      </c>
      <c r="S150">
        <v>-10</v>
      </c>
    </row>
    <row r="151" spans="1:19" x14ac:dyDescent="0.2">
      <c r="A151" s="1">
        <v>45809</v>
      </c>
      <c r="B151" s="1">
        <v>45900</v>
      </c>
      <c r="C151">
        <v>2025</v>
      </c>
      <c r="D151">
        <v>6</v>
      </c>
      <c r="E151">
        <v>2</v>
      </c>
      <c r="F151" t="s">
        <v>5</v>
      </c>
      <c r="G151" t="s">
        <v>3</v>
      </c>
      <c r="H151">
        <v>10</v>
      </c>
      <c r="I151">
        <v>11.11</v>
      </c>
      <c r="J151">
        <v>417500</v>
      </c>
      <c r="K151">
        <v>4.37</v>
      </c>
      <c r="L151">
        <v>26</v>
      </c>
      <c r="M151">
        <v>0</v>
      </c>
      <c r="N151">
        <v>20</v>
      </c>
      <c r="O151">
        <v>100</v>
      </c>
      <c r="P151">
        <v>28</v>
      </c>
      <c r="Q151">
        <v>100</v>
      </c>
      <c r="R151">
        <v>8</v>
      </c>
      <c r="S151">
        <v>0</v>
      </c>
    </row>
    <row r="152" spans="1:19" x14ac:dyDescent="0.2">
      <c r="A152" s="1">
        <v>45809</v>
      </c>
      <c r="B152" s="1">
        <v>45900</v>
      </c>
      <c r="C152">
        <v>2025</v>
      </c>
      <c r="D152">
        <v>6</v>
      </c>
      <c r="E152">
        <v>2</v>
      </c>
      <c r="F152" t="s">
        <v>5</v>
      </c>
      <c r="G152" t="s">
        <v>1</v>
      </c>
      <c r="H152">
        <v>100</v>
      </c>
      <c r="I152">
        <v>3.09</v>
      </c>
      <c r="J152">
        <v>475000</v>
      </c>
      <c r="K152">
        <v>2.81</v>
      </c>
      <c r="L152">
        <v>34</v>
      </c>
      <c r="M152">
        <v>-100</v>
      </c>
      <c r="N152">
        <v>133</v>
      </c>
      <c r="O152">
        <v>13.68</v>
      </c>
      <c r="P152">
        <v>234</v>
      </c>
      <c r="Q152">
        <v>25.81</v>
      </c>
      <c r="R152">
        <v>110</v>
      </c>
      <c r="S152">
        <v>2.8</v>
      </c>
    </row>
    <row r="153" spans="1:19" x14ac:dyDescent="0.2">
      <c r="A153" s="1">
        <v>45809</v>
      </c>
      <c r="B153" s="1">
        <v>45900</v>
      </c>
      <c r="C153">
        <v>2025</v>
      </c>
      <c r="D153">
        <v>6</v>
      </c>
      <c r="E153">
        <v>2</v>
      </c>
      <c r="F153" t="s">
        <v>5</v>
      </c>
      <c r="G153" t="s">
        <v>0</v>
      </c>
      <c r="H153">
        <v>218</v>
      </c>
      <c r="I153">
        <v>-1.8</v>
      </c>
      <c r="J153">
        <v>420000</v>
      </c>
      <c r="K153">
        <v>2.27</v>
      </c>
      <c r="L153">
        <v>42</v>
      </c>
      <c r="M153">
        <v>1800</v>
      </c>
      <c r="N153">
        <v>242</v>
      </c>
      <c r="O153">
        <v>-6.2</v>
      </c>
      <c r="P153">
        <v>489</v>
      </c>
      <c r="Q153">
        <v>24.11</v>
      </c>
      <c r="R153">
        <v>248</v>
      </c>
      <c r="S153">
        <v>18.66</v>
      </c>
    </row>
    <row r="154" spans="1:19" x14ac:dyDescent="0.2">
      <c r="A154" s="1">
        <v>45839</v>
      </c>
      <c r="B154" s="1">
        <v>45930</v>
      </c>
      <c r="C154">
        <v>2025</v>
      </c>
      <c r="D154">
        <v>7</v>
      </c>
      <c r="E154">
        <v>3</v>
      </c>
      <c r="F154" t="s">
        <v>5</v>
      </c>
      <c r="G154" t="s">
        <v>2</v>
      </c>
      <c r="H154">
        <v>54</v>
      </c>
      <c r="I154">
        <v>-21.74</v>
      </c>
      <c r="J154">
        <v>432500</v>
      </c>
      <c r="K154">
        <v>6.13</v>
      </c>
      <c r="L154">
        <v>34</v>
      </c>
      <c r="M154">
        <v>400</v>
      </c>
      <c r="N154">
        <v>58</v>
      </c>
      <c r="O154">
        <v>-7.94</v>
      </c>
      <c r="P154">
        <v>106</v>
      </c>
      <c r="Q154">
        <v>8.16</v>
      </c>
      <c r="R154">
        <v>56</v>
      </c>
      <c r="S154">
        <v>-5.08</v>
      </c>
    </row>
    <row r="155" spans="1:19" x14ac:dyDescent="0.2">
      <c r="A155" s="1">
        <v>45839</v>
      </c>
      <c r="B155" s="1">
        <v>45930</v>
      </c>
      <c r="C155">
        <v>2025</v>
      </c>
      <c r="D155">
        <v>7</v>
      </c>
      <c r="E155">
        <v>3</v>
      </c>
      <c r="F155" t="s">
        <v>5</v>
      </c>
      <c r="G155" t="s">
        <v>4</v>
      </c>
      <c r="H155">
        <v>6</v>
      </c>
      <c r="I155">
        <v>-40</v>
      </c>
      <c r="J155">
        <v>578500</v>
      </c>
      <c r="K155">
        <v>21.15</v>
      </c>
      <c r="L155">
        <v>46</v>
      </c>
      <c r="M155">
        <v>3300</v>
      </c>
      <c r="N155">
        <v>9</v>
      </c>
      <c r="O155">
        <v>-50</v>
      </c>
      <c r="P155">
        <v>17</v>
      </c>
      <c r="Q155">
        <v>-29.17</v>
      </c>
      <c r="R155">
        <v>9</v>
      </c>
      <c r="S155">
        <v>-10</v>
      </c>
    </row>
    <row r="156" spans="1:19" x14ac:dyDescent="0.2">
      <c r="A156" s="1">
        <v>45839</v>
      </c>
      <c r="B156" s="1">
        <v>45930</v>
      </c>
      <c r="C156">
        <v>2025</v>
      </c>
      <c r="D156">
        <v>7</v>
      </c>
      <c r="E156">
        <v>3</v>
      </c>
      <c r="F156" t="s">
        <v>5</v>
      </c>
      <c r="G156" t="s">
        <v>3</v>
      </c>
      <c r="H156">
        <v>8</v>
      </c>
      <c r="I156">
        <v>14.29</v>
      </c>
      <c r="J156">
        <v>402500</v>
      </c>
      <c r="K156">
        <v>1.9</v>
      </c>
      <c r="L156">
        <v>30</v>
      </c>
      <c r="M156">
        <v>750</v>
      </c>
      <c r="N156">
        <v>15</v>
      </c>
      <c r="O156">
        <v>0</v>
      </c>
      <c r="P156">
        <v>31</v>
      </c>
      <c r="Q156">
        <v>82.35</v>
      </c>
      <c r="R156">
        <v>12</v>
      </c>
      <c r="S156">
        <v>20</v>
      </c>
    </row>
    <row r="157" spans="1:19" x14ac:dyDescent="0.2">
      <c r="A157" s="1">
        <v>45839</v>
      </c>
      <c r="B157" s="1">
        <v>45930</v>
      </c>
      <c r="C157">
        <v>2025</v>
      </c>
      <c r="D157">
        <v>7</v>
      </c>
      <c r="E157">
        <v>3</v>
      </c>
      <c r="F157" t="s">
        <v>5</v>
      </c>
      <c r="G157" t="s">
        <v>1</v>
      </c>
      <c r="H157">
        <v>97</v>
      </c>
      <c r="I157">
        <v>3.19</v>
      </c>
      <c r="J157">
        <v>479000</v>
      </c>
      <c r="K157">
        <v>2.13</v>
      </c>
      <c r="L157">
        <v>41</v>
      </c>
      <c r="M157">
        <v>1000</v>
      </c>
      <c r="N157">
        <v>117</v>
      </c>
      <c r="O157">
        <v>-14.6</v>
      </c>
      <c r="P157">
        <v>235</v>
      </c>
      <c r="Q157">
        <v>13.53</v>
      </c>
      <c r="R157">
        <v>120</v>
      </c>
      <c r="S157">
        <v>2.56</v>
      </c>
    </row>
    <row r="158" spans="1:19" x14ac:dyDescent="0.2">
      <c r="A158" s="1">
        <v>45839</v>
      </c>
      <c r="B158" s="1">
        <v>45930</v>
      </c>
      <c r="C158">
        <v>2025</v>
      </c>
      <c r="D158">
        <v>7</v>
      </c>
      <c r="E158">
        <v>3</v>
      </c>
      <c r="F158" t="s">
        <v>5</v>
      </c>
      <c r="G158" t="s">
        <v>0</v>
      </c>
      <c r="H158">
        <v>234</v>
      </c>
      <c r="I158">
        <v>24.47</v>
      </c>
      <c r="J158">
        <v>419995</v>
      </c>
      <c r="K158">
        <v>2.44</v>
      </c>
      <c r="L158">
        <v>54</v>
      </c>
      <c r="M158">
        <v>2450</v>
      </c>
      <c r="N158">
        <v>234</v>
      </c>
      <c r="O158">
        <v>-1.68</v>
      </c>
      <c r="P158">
        <v>462</v>
      </c>
      <c r="Q158">
        <v>13.79</v>
      </c>
      <c r="R158">
        <v>238</v>
      </c>
      <c r="S158">
        <v>14.42</v>
      </c>
    </row>
    <row r="159" spans="1:19" x14ac:dyDescent="0.2">
      <c r="A159" s="1">
        <v>45870</v>
      </c>
      <c r="B159" s="1">
        <v>45961</v>
      </c>
      <c r="C159">
        <v>2025</v>
      </c>
      <c r="D159">
        <v>8</v>
      </c>
      <c r="E159">
        <v>3</v>
      </c>
      <c r="F159" t="s">
        <v>5</v>
      </c>
      <c r="G159" t="s">
        <v>2</v>
      </c>
      <c r="H159">
        <v>51</v>
      </c>
      <c r="I159">
        <v>-5.56</v>
      </c>
      <c r="J159">
        <v>420000</v>
      </c>
      <c r="K159">
        <v>2.44</v>
      </c>
      <c r="L159">
        <v>45</v>
      </c>
      <c r="M159">
        <v>2250</v>
      </c>
      <c r="N159">
        <v>57</v>
      </c>
      <c r="O159">
        <v>11.76</v>
      </c>
      <c r="P159">
        <v>102</v>
      </c>
      <c r="Q159">
        <v>7.37</v>
      </c>
      <c r="R159">
        <v>51</v>
      </c>
      <c r="S159">
        <v>-1.92</v>
      </c>
    </row>
    <row r="160" spans="1:19" x14ac:dyDescent="0.2">
      <c r="A160" s="1">
        <v>45870</v>
      </c>
      <c r="B160" s="1">
        <v>45961</v>
      </c>
      <c r="C160">
        <v>2025</v>
      </c>
      <c r="D160">
        <v>8</v>
      </c>
      <c r="E160">
        <v>3</v>
      </c>
      <c r="F160" t="s">
        <v>5</v>
      </c>
      <c r="G160" t="s">
        <v>4</v>
      </c>
      <c r="H160">
        <v>7</v>
      </c>
      <c r="I160">
        <v>-36.36</v>
      </c>
      <c r="J160">
        <v>480000</v>
      </c>
      <c r="K160">
        <v>1.05</v>
      </c>
      <c r="L160">
        <v>14</v>
      </c>
      <c r="M160">
        <v>200</v>
      </c>
      <c r="N160">
        <v>12</v>
      </c>
      <c r="O160">
        <v>-20</v>
      </c>
      <c r="P160">
        <v>21</v>
      </c>
      <c r="Q160">
        <v>-12.5</v>
      </c>
      <c r="R160">
        <v>8</v>
      </c>
      <c r="S160">
        <v>-38.46</v>
      </c>
    </row>
    <row r="161" spans="1:19" x14ac:dyDescent="0.2">
      <c r="A161" s="1">
        <v>45870</v>
      </c>
      <c r="B161" s="1">
        <v>45961</v>
      </c>
      <c r="C161">
        <v>2025</v>
      </c>
      <c r="D161">
        <v>8</v>
      </c>
      <c r="E161">
        <v>3</v>
      </c>
      <c r="F161" t="s">
        <v>5</v>
      </c>
      <c r="G161" t="s">
        <v>3</v>
      </c>
      <c r="H161">
        <v>11</v>
      </c>
      <c r="I161">
        <v>0</v>
      </c>
      <c r="J161">
        <v>436000</v>
      </c>
      <c r="K161">
        <v>11.79</v>
      </c>
      <c r="L161">
        <v>30</v>
      </c>
      <c r="M161">
        <v>800</v>
      </c>
      <c r="N161">
        <v>12</v>
      </c>
      <c r="O161">
        <v>-20</v>
      </c>
      <c r="P161">
        <v>29</v>
      </c>
      <c r="Q161">
        <v>61.11</v>
      </c>
      <c r="R161">
        <v>13</v>
      </c>
      <c r="S161">
        <v>0</v>
      </c>
    </row>
    <row r="162" spans="1:19" x14ac:dyDescent="0.2">
      <c r="A162" s="1">
        <v>45870</v>
      </c>
      <c r="B162" s="1">
        <v>45961</v>
      </c>
      <c r="C162">
        <v>2025</v>
      </c>
      <c r="D162">
        <v>8</v>
      </c>
      <c r="E162">
        <v>3</v>
      </c>
      <c r="F162" t="s">
        <v>5</v>
      </c>
      <c r="G162" t="s">
        <v>1</v>
      </c>
      <c r="H162">
        <v>96</v>
      </c>
      <c r="I162">
        <v>-11.93</v>
      </c>
      <c r="J162">
        <v>482500</v>
      </c>
      <c r="K162">
        <v>2.99</v>
      </c>
      <c r="L162">
        <v>41</v>
      </c>
      <c r="M162">
        <v>1000</v>
      </c>
      <c r="N162">
        <v>124</v>
      </c>
      <c r="O162">
        <v>-8.15</v>
      </c>
      <c r="P162">
        <v>231</v>
      </c>
      <c r="Q162">
        <v>10</v>
      </c>
      <c r="R162">
        <v>112</v>
      </c>
      <c r="S162">
        <v>-8.94</v>
      </c>
    </row>
    <row r="163" spans="1:19" x14ac:dyDescent="0.2">
      <c r="A163" s="1">
        <v>45870</v>
      </c>
      <c r="B163" s="1">
        <v>45961</v>
      </c>
      <c r="C163">
        <v>2025</v>
      </c>
      <c r="D163">
        <v>8</v>
      </c>
      <c r="E163">
        <v>3</v>
      </c>
      <c r="F163" t="s">
        <v>5</v>
      </c>
      <c r="G163" t="s">
        <v>0</v>
      </c>
      <c r="H163">
        <v>215</v>
      </c>
      <c r="I163">
        <v>24.28</v>
      </c>
      <c r="J163">
        <v>410000</v>
      </c>
      <c r="K163">
        <v>2.2400000000000002</v>
      </c>
      <c r="L163">
        <v>60</v>
      </c>
      <c r="M163">
        <v>2050</v>
      </c>
      <c r="N163">
        <v>239</v>
      </c>
      <c r="O163">
        <v>-5.91</v>
      </c>
      <c r="P163">
        <v>471</v>
      </c>
      <c r="Q163">
        <v>12.95</v>
      </c>
      <c r="R163">
        <v>247</v>
      </c>
      <c r="S163">
        <v>24.75</v>
      </c>
    </row>
    <row r="164" spans="1:19" x14ac:dyDescent="0.2">
      <c r="A164" s="1">
        <v>45901</v>
      </c>
      <c r="B164" s="1">
        <v>45991</v>
      </c>
      <c r="C164">
        <v>2025</v>
      </c>
      <c r="D164">
        <v>9</v>
      </c>
      <c r="E164">
        <v>3</v>
      </c>
      <c r="F164" t="s">
        <v>5</v>
      </c>
      <c r="G164" t="s">
        <v>2</v>
      </c>
      <c r="H164">
        <v>43</v>
      </c>
      <c r="I164">
        <v>2.38</v>
      </c>
      <c r="J164">
        <v>412000</v>
      </c>
      <c r="K164">
        <v>3</v>
      </c>
      <c r="L164">
        <v>46</v>
      </c>
      <c r="M164">
        <v>1900</v>
      </c>
      <c r="N164">
        <v>63</v>
      </c>
      <c r="O164">
        <v>26</v>
      </c>
      <c r="P164">
        <v>105</v>
      </c>
      <c r="Q164">
        <v>25</v>
      </c>
      <c r="R164">
        <v>54</v>
      </c>
      <c r="S164">
        <v>12.5</v>
      </c>
    </row>
    <row r="165" spans="1:19" x14ac:dyDescent="0.2">
      <c r="A165" s="1">
        <v>45901</v>
      </c>
      <c r="B165" s="1">
        <v>45991</v>
      </c>
      <c r="C165">
        <v>2025</v>
      </c>
      <c r="D165">
        <v>9</v>
      </c>
      <c r="E165">
        <v>3</v>
      </c>
      <c r="F165" t="s">
        <v>5</v>
      </c>
      <c r="G165" t="s">
        <v>4</v>
      </c>
      <c r="H165">
        <v>9</v>
      </c>
      <c r="I165">
        <v>12.5</v>
      </c>
      <c r="J165">
        <v>480000</v>
      </c>
      <c r="K165">
        <v>0.57999999999999996</v>
      </c>
      <c r="L165">
        <v>13</v>
      </c>
      <c r="M165">
        <v>-450</v>
      </c>
      <c r="N165">
        <v>14</v>
      </c>
      <c r="O165">
        <v>7.69</v>
      </c>
      <c r="P165">
        <v>21</v>
      </c>
      <c r="Q165">
        <v>0</v>
      </c>
      <c r="R165">
        <v>10</v>
      </c>
      <c r="S165">
        <v>-23.08</v>
      </c>
    </row>
    <row r="166" spans="1:19" x14ac:dyDescent="0.2">
      <c r="A166" s="1">
        <v>45901</v>
      </c>
      <c r="B166" s="1">
        <v>45991</v>
      </c>
      <c r="C166">
        <v>2025</v>
      </c>
      <c r="D166">
        <v>9</v>
      </c>
      <c r="E166">
        <v>3</v>
      </c>
      <c r="F166" t="s">
        <v>5</v>
      </c>
      <c r="G166" t="s">
        <v>3</v>
      </c>
      <c r="H166">
        <v>10</v>
      </c>
      <c r="I166">
        <v>-23.08</v>
      </c>
      <c r="J166">
        <v>448000</v>
      </c>
      <c r="K166">
        <v>13.42</v>
      </c>
      <c r="L166">
        <v>26</v>
      </c>
      <c r="M166">
        <v>1150</v>
      </c>
      <c r="N166">
        <v>8</v>
      </c>
      <c r="O166">
        <v>-42.86</v>
      </c>
      <c r="P166">
        <v>26</v>
      </c>
      <c r="Q166">
        <v>44.44</v>
      </c>
      <c r="R166">
        <v>12</v>
      </c>
      <c r="S166">
        <v>0</v>
      </c>
    </row>
    <row r="167" spans="1:19" x14ac:dyDescent="0.2">
      <c r="A167" s="1">
        <v>45901</v>
      </c>
      <c r="B167" s="1">
        <v>45991</v>
      </c>
      <c r="C167">
        <v>2025</v>
      </c>
      <c r="D167">
        <v>9</v>
      </c>
      <c r="E167">
        <v>3</v>
      </c>
      <c r="F167" t="s">
        <v>5</v>
      </c>
      <c r="G167" t="s">
        <v>1</v>
      </c>
      <c r="H167">
        <v>86</v>
      </c>
      <c r="I167">
        <v>-18.100000000000001</v>
      </c>
      <c r="J167">
        <v>479745</v>
      </c>
      <c r="K167">
        <v>2.1800000000000002</v>
      </c>
      <c r="L167">
        <v>44</v>
      </c>
      <c r="M167">
        <v>1300</v>
      </c>
      <c r="N167">
        <v>115</v>
      </c>
      <c r="O167">
        <v>-6.5</v>
      </c>
      <c r="P167">
        <v>225</v>
      </c>
      <c r="Q167">
        <v>15.38</v>
      </c>
      <c r="R167">
        <v>103</v>
      </c>
      <c r="S167">
        <v>-5.5</v>
      </c>
    </row>
    <row r="168" spans="1:19" x14ac:dyDescent="0.2">
      <c r="A168" s="1">
        <v>45901</v>
      </c>
      <c r="B168" s="1">
        <v>45991</v>
      </c>
      <c r="C168">
        <v>2025</v>
      </c>
      <c r="D168">
        <v>9</v>
      </c>
      <c r="E168">
        <v>3</v>
      </c>
      <c r="F168" t="s">
        <v>5</v>
      </c>
      <c r="G168" t="s">
        <v>0</v>
      </c>
      <c r="H168">
        <v>212</v>
      </c>
      <c r="I168">
        <v>27.71</v>
      </c>
      <c r="J168">
        <v>409995</v>
      </c>
      <c r="K168">
        <v>1.3</v>
      </c>
      <c r="L168">
        <v>56</v>
      </c>
      <c r="M168">
        <v>900</v>
      </c>
      <c r="N168">
        <v>229</v>
      </c>
      <c r="O168">
        <v>-2.14</v>
      </c>
      <c r="P168">
        <v>432</v>
      </c>
      <c r="Q168">
        <v>4.8499999999999996</v>
      </c>
      <c r="R168">
        <v>207</v>
      </c>
      <c r="S168">
        <v>5.08</v>
      </c>
    </row>
    <row r="169" spans="1:19" x14ac:dyDescent="0.2">
      <c r="A169" s="1">
        <v>45931</v>
      </c>
      <c r="B169" s="1">
        <v>46022</v>
      </c>
      <c r="C169">
        <v>2025</v>
      </c>
      <c r="D169">
        <v>10</v>
      </c>
      <c r="E169">
        <v>4</v>
      </c>
      <c r="F169" t="s">
        <v>5</v>
      </c>
      <c r="G169" t="s">
        <v>2</v>
      </c>
      <c r="H169">
        <v>56</v>
      </c>
      <c r="I169">
        <v>24.44</v>
      </c>
      <c r="J169">
        <v>410000</v>
      </c>
      <c r="K169">
        <v>2.5</v>
      </c>
      <c r="L169">
        <v>38</v>
      </c>
      <c r="M169">
        <v>-100</v>
      </c>
      <c r="N169">
        <v>52</v>
      </c>
      <c r="O169">
        <v>10.64</v>
      </c>
      <c r="P169">
        <v>98</v>
      </c>
      <c r="Q169">
        <v>13.95</v>
      </c>
      <c r="R169">
        <v>57</v>
      </c>
      <c r="S169">
        <v>18.75</v>
      </c>
    </row>
    <row r="170" spans="1:19" x14ac:dyDescent="0.2">
      <c r="A170" s="1">
        <v>45931</v>
      </c>
      <c r="B170" s="1">
        <v>46022</v>
      </c>
      <c r="C170">
        <v>2025</v>
      </c>
      <c r="D170">
        <v>10</v>
      </c>
      <c r="E170">
        <v>4</v>
      </c>
      <c r="F170" t="s">
        <v>5</v>
      </c>
      <c r="G170" t="s">
        <v>4</v>
      </c>
      <c r="H170">
        <v>9</v>
      </c>
      <c r="I170">
        <v>-35.71</v>
      </c>
      <c r="J170">
        <v>442000</v>
      </c>
      <c r="K170">
        <v>-13.12</v>
      </c>
      <c r="L170">
        <v>13</v>
      </c>
      <c r="M170">
        <v>-1600</v>
      </c>
      <c r="N170">
        <v>12</v>
      </c>
      <c r="O170">
        <v>33.33</v>
      </c>
      <c r="P170">
        <v>21</v>
      </c>
      <c r="Q170">
        <v>0</v>
      </c>
      <c r="R170">
        <v>9</v>
      </c>
      <c r="S170">
        <v>-35.71</v>
      </c>
    </row>
    <row r="171" spans="1:19" x14ac:dyDescent="0.2">
      <c r="A171" s="1">
        <v>45931</v>
      </c>
      <c r="B171" s="1">
        <v>46022</v>
      </c>
      <c r="C171">
        <v>2025</v>
      </c>
      <c r="D171">
        <v>10</v>
      </c>
      <c r="E171">
        <v>4</v>
      </c>
      <c r="F171" t="s">
        <v>5</v>
      </c>
      <c r="G171" t="s">
        <v>3</v>
      </c>
      <c r="H171">
        <v>11</v>
      </c>
      <c r="I171">
        <v>-8.33</v>
      </c>
      <c r="J171">
        <v>460000</v>
      </c>
      <c r="K171">
        <v>10.84</v>
      </c>
      <c r="L171">
        <v>26</v>
      </c>
      <c r="M171">
        <v>650</v>
      </c>
      <c r="N171">
        <v>4</v>
      </c>
      <c r="O171">
        <v>-66.67</v>
      </c>
      <c r="P171">
        <v>21</v>
      </c>
      <c r="Q171">
        <v>16.670000000000002</v>
      </c>
      <c r="R171">
        <v>10</v>
      </c>
      <c r="S171">
        <v>-9.09</v>
      </c>
    </row>
    <row r="172" spans="1:19" x14ac:dyDescent="0.2">
      <c r="A172" s="1">
        <v>45931</v>
      </c>
      <c r="B172" s="1">
        <v>46022</v>
      </c>
      <c r="C172">
        <v>2025</v>
      </c>
      <c r="D172">
        <v>10</v>
      </c>
      <c r="E172">
        <v>4</v>
      </c>
      <c r="F172" t="s">
        <v>5</v>
      </c>
      <c r="G172" t="s">
        <v>1</v>
      </c>
      <c r="H172">
        <v>81</v>
      </c>
      <c r="I172">
        <v>-21.36</v>
      </c>
      <c r="J172">
        <v>482000</v>
      </c>
      <c r="K172">
        <v>0.73</v>
      </c>
      <c r="L172">
        <v>52</v>
      </c>
      <c r="M172">
        <v>2350</v>
      </c>
      <c r="N172">
        <v>103</v>
      </c>
      <c r="O172">
        <v>14.44</v>
      </c>
      <c r="P172">
        <v>199</v>
      </c>
      <c r="Q172">
        <v>11.17</v>
      </c>
      <c r="R172">
        <v>89</v>
      </c>
      <c r="S172">
        <v>-1.1100000000000001</v>
      </c>
    </row>
    <row r="173" spans="1:19" x14ac:dyDescent="0.2">
      <c r="A173" s="1">
        <v>45931</v>
      </c>
      <c r="B173" s="1">
        <v>46022</v>
      </c>
      <c r="C173">
        <v>2025</v>
      </c>
      <c r="D173">
        <v>10</v>
      </c>
      <c r="E173">
        <v>4</v>
      </c>
      <c r="F173" t="s">
        <v>5</v>
      </c>
      <c r="G173" t="s">
        <v>0</v>
      </c>
      <c r="H173">
        <v>194</v>
      </c>
      <c r="I173">
        <v>5.43</v>
      </c>
      <c r="J173">
        <v>396411</v>
      </c>
      <c r="K173">
        <v>-3.31</v>
      </c>
      <c r="L173">
        <v>54</v>
      </c>
      <c r="M173">
        <v>700</v>
      </c>
      <c r="N173">
        <v>222</v>
      </c>
      <c r="O173">
        <v>16.84</v>
      </c>
      <c r="P173">
        <v>426</v>
      </c>
      <c r="Q173">
        <v>9.51</v>
      </c>
      <c r="R173">
        <v>204</v>
      </c>
      <c r="S173">
        <v>7.37</v>
      </c>
    </row>
    <row r="174" spans="1:19" x14ac:dyDescent="0.2">
      <c r="A174" s="1">
        <v>45962</v>
      </c>
      <c r="B174" s="1">
        <v>46053</v>
      </c>
      <c r="C174">
        <v>2025</v>
      </c>
      <c r="D174">
        <v>11</v>
      </c>
      <c r="E174">
        <v>4</v>
      </c>
      <c r="F174" t="s">
        <v>5</v>
      </c>
      <c r="G174" t="s">
        <v>2</v>
      </c>
      <c r="H174">
        <v>45</v>
      </c>
      <c r="I174">
        <v>-13.46</v>
      </c>
      <c r="J174">
        <v>420000</v>
      </c>
      <c r="K174">
        <v>5</v>
      </c>
      <c r="L174">
        <v>28</v>
      </c>
      <c r="M174">
        <v>-1250</v>
      </c>
      <c r="N174">
        <v>49</v>
      </c>
      <c r="O174">
        <v>-2</v>
      </c>
      <c r="P174">
        <v>84</v>
      </c>
      <c r="Q174">
        <v>-5.62</v>
      </c>
      <c r="R174">
        <v>55</v>
      </c>
      <c r="S174">
        <v>-1.79</v>
      </c>
    </row>
    <row r="175" spans="1:19" x14ac:dyDescent="0.2">
      <c r="A175" s="1">
        <v>45962</v>
      </c>
      <c r="B175" s="1">
        <v>46053</v>
      </c>
      <c r="C175">
        <v>2025</v>
      </c>
      <c r="D175">
        <v>11</v>
      </c>
      <c r="E175">
        <v>4</v>
      </c>
      <c r="F175" t="s">
        <v>5</v>
      </c>
      <c r="G175" t="s">
        <v>4</v>
      </c>
      <c r="H175">
        <v>11</v>
      </c>
      <c r="I175">
        <v>-8.33</v>
      </c>
      <c r="J175">
        <v>442000</v>
      </c>
      <c r="K175">
        <v>-9.19</v>
      </c>
      <c r="L175">
        <v>13</v>
      </c>
      <c r="M175">
        <v>-3400</v>
      </c>
      <c r="N175">
        <v>5</v>
      </c>
      <c r="O175">
        <v>-64.290000000000006</v>
      </c>
      <c r="P175">
        <v>15</v>
      </c>
      <c r="Q175">
        <v>-28.57</v>
      </c>
      <c r="R175">
        <v>8</v>
      </c>
      <c r="S175">
        <v>-11.11</v>
      </c>
    </row>
    <row r="176" spans="1:19" x14ac:dyDescent="0.2">
      <c r="A176" s="1">
        <v>45962</v>
      </c>
      <c r="B176" s="1">
        <v>46053</v>
      </c>
      <c r="C176">
        <v>2025</v>
      </c>
      <c r="D176">
        <v>11</v>
      </c>
      <c r="E176">
        <v>4</v>
      </c>
      <c r="F176" t="s">
        <v>5</v>
      </c>
      <c r="G176" t="s">
        <v>3</v>
      </c>
      <c r="H176">
        <v>6</v>
      </c>
      <c r="I176">
        <v>-33.33</v>
      </c>
      <c r="J176">
        <v>402500</v>
      </c>
      <c r="K176">
        <v>-4.17</v>
      </c>
      <c r="L176">
        <v>60</v>
      </c>
      <c r="M176">
        <v>4450</v>
      </c>
      <c r="N176">
        <v>7</v>
      </c>
      <c r="O176">
        <v>-50</v>
      </c>
      <c r="P176">
        <v>20</v>
      </c>
      <c r="Q176">
        <v>11.11</v>
      </c>
      <c r="R176">
        <v>8</v>
      </c>
      <c r="S176">
        <v>-20</v>
      </c>
    </row>
    <row r="177" spans="1:19" x14ac:dyDescent="0.2">
      <c r="A177" s="1">
        <v>45962</v>
      </c>
      <c r="B177" s="1">
        <v>46053</v>
      </c>
      <c r="C177">
        <v>2025</v>
      </c>
      <c r="D177">
        <v>11</v>
      </c>
      <c r="E177">
        <v>4</v>
      </c>
      <c r="F177" t="s">
        <v>5</v>
      </c>
      <c r="G177" t="s">
        <v>1</v>
      </c>
      <c r="H177">
        <v>74</v>
      </c>
      <c r="I177">
        <v>-8.64</v>
      </c>
      <c r="J177">
        <v>460870</v>
      </c>
      <c r="K177">
        <v>-5.83</v>
      </c>
      <c r="L177">
        <v>45</v>
      </c>
      <c r="M177">
        <v>1000</v>
      </c>
      <c r="N177">
        <v>88</v>
      </c>
      <c r="O177">
        <v>2.33</v>
      </c>
      <c r="P177">
        <v>192</v>
      </c>
      <c r="Q177">
        <v>17.07</v>
      </c>
      <c r="R177">
        <v>84</v>
      </c>
      <c r="S177">
        <v>9.09</v>
      </c>
    </row>
    <row r="178" spans="1:19" x14ac:dyDescent="0.2">
      <c r="A178" s="1">
        <v>45962</v>
      </c>
      <c r="B178" s="1">
        <v>46053</v>
      </c>
      <c r="C178">
        <v>2025</v>
      </c>
      <c r="D178">
        <v>11</v>
      </c>
      <c r="E178">
        <v>4</v>
      </c>
      <c r="F178" t="s">
        <v>5</v>
      </c>
      <c r="G178" t="s">
        <v>0</v>
      </c>
      <c r="H178">
        <v>182</v>
      </c>
      <c r="I178">
        <v>4.5999999999999996</v>
      </c>
      <c r="J178">
        <v>410000</v>
      </c>
      <c r="K178">
        <v>-0.97</v>
      </c>
      <c r="L178">
        <v>53</v>
      </c>
      <c r="M178">
        <v>-500</v>
      </c>
      <c r="N178">
        <v>253</v>
      </c>
      <c r="O178">
        <v>59.12</v>
      </c>
      <c r="P178">
        <v>453</v>
      </c>
      <c r="Q178">
        <v>19.84</v>
      </c>
      <c r="R178">
        <v>204</v>
      </c>
      <c r="S178">
        <v>14.61</v>
      </c>
    </row>
    <row r="179" spans="1:19" x14ac:dyDescent="0.2">
      <c r="A179" s="1">
        <v>45992</v>
      </c>
      <c r="B179" s="1">
        <v>46081</v>
      </c>
      <c r="C179">
        <v>2025</v>
      </c>
      <c r="D179">
        <v>12</v>
      </c>
      <c r="E179">
        <v>4</v>
      </c>
      <c r="F179" t="s">
        <v>5</v>
      </c>
      <c r="G179" t="s">
        <v>2</v>
      </c>
      <c r="H179">
        <v>52</v>
      </c>
      <c r="I179">
        <v>-7.14</v>
      </c>
      <c r="J179">
        <v>412500</v>
      </c>
      <c r="K179">
        <v>3.77</v>
      </c>
      <c r="L179">
        <v>25</v>
      </c>
      <c r="M179">
        <v>-1550</v>
      </c>
      <c r="N179">
        <v>37</v>
      </c>
      <c r="O179">
        <v>-32.729999999999997</v>
      </c>
      <c r="P179">
        <v>76</v>
      </c>
      <c r="Q179">
        <v>-16.48</v>
      </c>
      <c r="R179">
        <v>52</v>
      </c>
      <c r="S179">
        <v>-16.13</v>
      </c>
    </row>
    <row r="180" spans="1:19" x14ac:dyDescent="0.2">
      <c r="A180" s="1">
        <v>45992</v>
      </c>
      <c r="B180" s="1">
        <v>46081</v>
      </c>
      <c r="C180">
        <v>2025</v>
      </c>
      <c r="D180">
        <v>12</v>
      </c>
      <c r="E180">
        <v>4</v>
      </c>
      <c r="F180" t="s">
        <v>5</v>
      </c>
      <c r="G180" t="s">
        <v>4</v>
      </c>
      <c r="H180">
        <v>9</v>
      </c>
      <c r="I180">
        <v>-10</v>
      </c>
      <c r="J180">
        <v>442000</v>
      </c>
      <c r="K180">
        <v>-9.19</v>
      </c>
      <c r="L180">
        <v>34</v>
      </c>
      <c r="M180">
        <v>900</v>
      </c>
      <c r="N180">
        <v>4</v>
      </c>
      <c r="O180">
        <v>-75</v>
      </c>
      <c r="P180">
        <v>12</v>
      </c>
      <c r="Q180">
        <v>-42.86</v>
      </c>
      <c r="R180">
        <v>8</v>
      </c>
      <c r="S180">
        <v>0</v>
      </c>
    </row>
    <row r="181" spans="1:19" x14ac:dyDescent="0.2">
      <c r="A181" s="1">
        <v>45992</v>
      </c>
      <c r="B181" s="1">
        <v>46081</v>
      </c>
      <c r="C181">
        <v>2025</v>
      </c>
      <c r="D181">
        <v>12</v>
      </c>
      <c r="E181">
        <v>4</v>
      </c>
      <c r="F181" t="s">
        <v>5</v>
      </c>
      <c r="G181" t="s">
        <v>3</v>
      </c>
      <c r="H181">
        <v>5</v>
      </c>
      <c r="I181">
        <v>-28.57</v>
      </c>
      <c r="J181">
        <v>460000</v>
      </c>
      <c r="K181">
        <v>2.2200000000000002</v>
      </c>
      <c r="L181">
        <v>130</v>
      </c>
      <c r="M181">
        <v>11550</v>
      </c>
      <c r="N181">
        <v>10</v>
      </c>
      <c r="O181">
        <v>-41.18</v>
      </c>
      <c r="P181">
        <v>20</v>
      </c>
      <c r="Q181">
        <v>-9.09</v>
      </c>
      <c r="R181">
        <v>9</v>
      </c>
      <c r="S181">
        <v>-18.18</v>
      </c>
    </row>
    <row r="182" spans="1:19" x14ac:dyDescent="0.2">
      <c r="A182" s="1">
        <v>45992</v>
      </c>
      <c r="B182" s="1">
        <v>46081</v>
      </c>
      <c r="C182">
        <v>2025</v>
      </c>
      <c r="D182">
        <v>12</v>
      </c>
      <c r="E182">
        <v>4</v>
      </c>
      <c r="F182" t="s">
        <v>5</v>
      </c>
      <c r="G182" t="s">
        <v>1</v>
      </c>
      <c r="H182">
        <v>65</v>
      </c>
      <c r="I182">
        <v>-2.99</v>
      </c>
      <c r="J182">
        <v>465000</v>
      </c>
      <c r="K182">
        <v>-5.23</v>
      </c>
      <c r="L182">
        <v>43</v>
      </c>
      <c r="M182">
        <v>300</v>
      </c>
      <c r="N182">
        <v>88</v>
      </c>
      <c r="O182">
        <v>-4.3499999999999996</v>
      </c>
      <c r="P182">
        <v>183</v>
      </c>
      <c r="Q182">
        <v>11.59</v>
      </c>
      <c r="R182">
        <v>79</v>
      </c>
      <c r="S182">
        <v>6.76</v>
      </c>
    </row>
    <row r="183" spans="1:19" x14ac:dyDescent="0.2">
      <c r="A183" s="1">
        <v>45992</v>
      </c>
      <c r="B183" s="1">
        <v>46081</v>
      </c>
      <c r="C183">
        <v>2025</v>
      </c>
      <c r="D183">
        <v>12</v>
      </c>
      <c r="E183">
        <v>4</v>
      </c>
      <c r="F183" t="s">
        <v>5</v>
      </c>
      <c r="G183" t="s">
        <v>0</v>
      </c>
      <c r="H183">
        <v>183</v>
      </c>
      <c r="I183">
        <v>18.829999999999998</v>
      </c>
      <c r="J183">
        <v>399990</v>
      </c>
      <c r="K183">
        <v>-4.42</v>
      </c>
      <c r="L183">
        <v>45</v>
      </c>
      <c r="M183">
        <v>-1200</v>
      </c>
      <c r="N183">
        <v>274</v>
      </c>
      <c r="O183">
        <v>52.22</v>
      </c>
      <c r="P183">
        <v>475</v>
      </c>
      <c r="Q183">
        <v>27.35</v>
      </c>
      <c r="R183">
        <v>240</v>
      </c>
      <c r="S183">
        <v>45.45</v>
      </c>
    </row>
    <row r="184" spans="1:19" x14ac:dyDescent="0.2">
      <c r="A184" s="1">
        <v>46023</v>
      </c>
      <c r="B184" s="1">
        <v>46112</v>
      </c>
      <c r="C184">
        <v>2026</v>
      </c>
      <c r="D184">
        <v>1</v>
      </c>
      <c r="E184">
        <v>1</v>
      </c>
      <c r="F184" t="s">
        <v>5</v>
      </c>
      <c r="G184" t="s">
        <v>2</v>
      </c>
      <c r="H184">
        <v>44</v>
      </c>
      <c r="I184">
        <v>-18.52</v>
      </c>
      <c r="J184">
        <v>415000</v>
      </c>
      <c r="K184">
        <v>1.28</v>
      </c>
      <c r="L184">
        <v>29</v>
      </c>
      <c r="M184">
        <v>-300</v>
      </c>
      <c r="N184">
        <v>47</v>
      </c>
      <c r="O184">
        <v>-18.97</v>
      </c>
      <c r="P184">
        <v>81</v>
      </c>
      <c r="Q184">
        <v>-11.96</v>
      </c>
      <c r="R184">
        <v>43</v>
      </c>
      <c r="S184">
        <v>-30.65</v>
      </c>
    </row>
    <row r="185" spans="1:19" x14ac:dyDescent="0.2">
      <c r="A185" s="1">
        <v>46023</v>
      </c>
      <c r="B185" s="1">
        <v>46112</v>
      </c>
      <c r="C185">
        <v>2026</v>
      </c>
      <c r="D185">
        <v>1</v>
      </c>
      <c r="E185">
        <v>1</v>
      </c>
      <c r="F185" t="s">
        <v>5</v>
      </c>
      <c r="G185" t="s">
        <v>4</v>
      </c>
      <c r="H185">
        <v>10</v>
      </c>
      <c r="I185">
        <v>100</v>
      </c>
      <c r="J185">
        <v>490000</v>
      </c>
      <c r="K185">
        <v>-13.27</v>
      </c>
      <c r="L185">
        <v>81</v>
      </c>
      <c r="M185">
        <v>7000</v>
      </c>
      <c r="N185">
        <v>6</v>
      </c>
      <c r="O185">
        <v>-66.67</v>
      </c>
      <c r="P185">
        <v>12</v>
      </c>
      <c r="Q185">
        <v>-50</v>
      </c>
      <c r="R185">
        <v>11</v>
      </c>
      <c r="S185">
        <v>10</v>
      </c>
    </row>
    <row r="186" spans="1:19" x14ac:dyDescent="0.2">
      <c r="A186" s="1">
        <v>46023</v>
      </c>
      <c r="B186" s="1">
        <v>46112</v>
      </c>
      <c r="C186">
        <v>2026</v>
      </c>
      <c r="D186">
        <v>1</v>
      </c>
      <c r="E186">
        <v>1</v>
      </c>
      <c r="F186" t="s">
        <v>5</v>
      </c>
      <c r="G186" t="s">
        <v>3</v>
      </c>
      <c r="H186">
        <v>8</v>
      </c>
      <c r="I186">
        <v>-20</v>
      </c>
      <c r="J186">
        <v>442500</v>
      </c>
      <c r="K186">
        <v>6.88</v>
      </c>
      <c r="L186">
        <v>65</v>
      </c>
      <c r="M186">
        <v>2750</v>
      </c>
      <c r="N186">
        <v>16</v>
      </c>
      <c r="O186">
        <v>-5.88</v>
      </c>
      <c r="P186">
        <v>21</v>
      </c>
      <c r="Q186">
        <v>-12.5</v>
      </c>
      <c r="R186">
        <v>10</v>
      </c>
      <c r="S186">
        <v>-9.09</v>
      </c>
    </row>
    <row r="187" spans="1:19" x14ac:dyDescent="0.2">
      <c r="A187" s="1">
        <v>46023</v>
      </c>
      <c r="B187" s="1">
        <v>46112</v>
      </c>
      <c r="C187">
        <v>2026</v>
      </c>
      <c r="D187">
        <v>1</v>
      </c>
      <c r="E187">
        <v>1</v>
      </c>
      <c r="F187" t="s">
        <v>5</v>
      </c>
      <c r="G187" t="s">
        <v>1</v>
      </c>
      <c r="H187">
        <v>80</v>
      </c>
      <c r="I187">
        <v>15.94</v>
      </c>
      <c r="J187">
        <v>438362</v>
      </c>
      <c r="K187">
        <v>-7.56</v>
      </c>
      <c r="L187">
        <v>35</v>
      </c>
      <c r="M187">
        <v>-1200</v>
      </c>
      <c r="N187">
        <v>108</v>
      </c>
      <c r="O187">
        <v>-3.57</v>
      </c>
      <c r="P187">
        <v>197</v>
      </c>
      <c r="Q187">
        <v>8.24</v>
      </c>
      <c r="R187">
        <v>106</v>
      </c>
      <c r="S187">
        <v>19.100000000000001</v>
      </c>
    </row>
    <row r="188" spans="1:19" x14ac:dyDescent="0.2">
      <c r="A188" s="1">
        <v>46023</v>
      </c>
      <c r="B188" s="1">
        <v>46112</v>
      </c>
      <c r="C188">
        <v>2026</v>
      </c>
      <c r="D188">
        <v>1</v>
      </c>
      <c r="E188">
        <v>1</v>
      </c>
      <c r="F188" t="s">
        <v>5</v>
      </c>
      <c r="G188" t="s">
        <v>0</v>
      </c>
      <c r="H188">
        <v>216</v>
      </c>
      <c r="I188">
        <v>46.94</v>
      </c>
      <c r="J188">
        <v>399250</v>
      </c>
      <c r="K188">
        <v>-1.99</v>
      </c>
      <c r="L188">
        <v>41</v>
      </c>
      <c r="M188">
        <v>-550</v>
      </c>
      <c r="N188">
        <v>292</v>
      </c>
      <c r="O188">
        <v>21.16</v>
      </c>
      <c r="P188">
        <v>484</v>
      </c>
      <c r="Q188">
        <v>15.79</v>
      </c>
      <c r="R188">
        <v>281</v>
      </c>
      <c r="S188">
        <v>46.35</v>
      </c>
    </row>
    <row r="189" spans="1:19" x14ac:dyDescent="0.2">
      <c r="A189" s="1">
        <v>46054</v>
      </c>
      <c r="B189" s="1">
        <v>46142</v>
      </c>
      <c r="C189">
        <v>2026</v>
      </c>
      <c r="D189">
        <v>2</v>
      </c>
      <c r="E189">
        <v>1</v>
      </c>
      <c r="F189" t="s">
        <v>5</v>
      </c>
      <c r="G189" t="s">
        <v>2</v>
      </c>
      <c r="H189">
        <v>45</v>
      </c>
      <c r="I189">
        <v>-23.67</v>
      </c>
      <c r="J189">
        <v>414786</v>
      </c>
      <c r="K189">
        <v>1.66</v>
      </c>
      <c r="L189">
        <v>29</v>
      </c>
      <c r="M189">
        <v>-95.62</v>
      </c>
      <c r="N189">
        <v>52</v>
      </c>
      <c r="O189">
        <v>-18.100000000000001</v>
      </c>
      <c r="P189">
        <v>86</v>
      </c>
      <c r="Q189">
        <v>-5.98</v>
      </c>
      <c r="R189">
        <v>47</v>
      </c>
      <c r="S189">
        <v>-20.99</v>
      </c>
    </row>
    <row r="190" spans="1:19" x14ac:dyDescent="0.2">
      <c r="A190" s="1">
        <v>46054</v>
      </c>
      <c r="B190" s="1">
        <v>46142</v>
      </c>
      <c r="C190">
        <v>2026</v>
      </c>
      <c r="D190">
        <v>2</v>
      </c>
      <c r="E190">
        <v>1</v>
      </c>
      <c r="F190" t="s">
        <v>5</v>
      </c>
      <c r="G190" t="s">
        <v>4</v>
      </c>
      <c r="H190">
        <v>12</v>
      </c>
      <c r="I190">
        <v>53.53</v>
      </c>
      <c r="J190">
        <v>529726</v>
      </c>
      <c r="K190">
        <v>-4.9800000000000004</v>
      </c>
      <c r="L190">
        <v>104</v>
      </c>
      <c r="M190">
        <v>7965.72</v>
      </c>
      <c r="N190">
        <v>8</v>
      </c>
      <c r="O190">
        <v>-19.36</v>
      </c>
      <c r="P190">
        <v>12</v>
      </c>
      <c r="Q190">
        <v>-47.53</v>
      </c>
      <c r="R190">
        <v>15</v>
      </c>
      <c r="S190">
        <v>26.08</v>
      </c>
    </row>
    <row r="191" spans="1:19" x14ac:dyDescent="0.2">
      <c r="A191" s="1">
        <v>46054</v>
      </c>
      <c r="B191" s="1">
        <v>46142</v>
      </c>
      <c r="C191">
        <v>2026</v>
      </c>
      <c r="D191">
        <v>2</v>
      </c>
      <c r="E191">
        <v>1</v>
      </c>
      <c r="F191" t="s">
        <v>5</v>
      </c>
      <c r="G191" t="s">
        <v>3</v>
      </c>
      <c r="H191">
        <v>9</v>
      </c>
      <c r="I191">
        <v>-16.25</v>
      </c>
      <c r="J191">
        <v>399794</v>
      </c>
      <c r="K191">
        <v>-6.81</v>
      </c>
      <c r="L191">
        <v>36</v>
      </c>
      <c r="M191">
        <v>1005.44</v>
      </c>
      <c r="N191">
        <v>17</v>
      </c>
      <c r="O191">
        <v>0.8</v>
      </c>
      <c r="P191">
        <v>23</v>
      </c>
      <c r="Q191">
        <v>-3.61</v>
      </c>
      <c r="R191">
        <v>13</v>
      </c>
      <c r="S191">
        <v>-6.34</v>
      </c>
    </row>
    <row r="192" spans="1:19" x14ac:dyDescent="0.2">
      <c r="A192" s="1">
        <v>46054</v>
      </c>
      <c r="B192" s="1">
        <v>46142</v>
      </c>
      <c r="C192">
        <v>2026</v>
      </c>
      <c r="D192">
        <v>2</v>
      </c>
      <c r="E192">
        <v>1</v>
      </c>
      <c r="F192" t="s">
        <v>5</v>
      </c>
      <c r="G192" t="s">
        <v>1</v>
      </c>
      <c r="H192">
        <v>88</v>
      </c>
      <c r="I192">
        <v>15.82</v>
      </c>
      <c r="J192">
        <v>442778</v>
      </c>
      <c r="K192">
        <v>-5.79</v>
      </c>
      <c r="L192">
        <v>40</v>
      </c>
      <c r="M192">
        <v>356.05</v>
      </c>
      <c r="N192">
        <v>118</v>
      </c>
      <c r="O192">
        <v>-2.5299999999999998</v>
      </c>
      <c r="P192">
        <v>208</v>
      </c>
      <c r="Q192">
        <v>3.07</v>
      </c>
      <c r="R192">
        <v>111</v>
      </c>
      <c r="S192">
        <v>23.28</v>
      </c>
    </row>
    <row r="193" spans="1:19" x14ac:dyDescent="0.2">
      <c r="A193" s="1">
        <v>46054</v>
      </c>
      <c r="B193" s="1">
        <v>46142</v>
      </c>
      <c r="C193">
        <v>2026</v>
      </c>
      <c r="D193">
        <v>2</v>
      </c>
      <c r="E193">
        <v>1</v>
      </c>
      <c r="F193" t="s">
        <v>5</v>
      </c>
      <c r="G193" t="s">
        <v>0</v>
      </c>
      <c r="H193">
        <v>249</v>
      </c>
      <c r="I193">
        <v>46.31</v>
      </c>
      <c r="J193">
        <v>398784</v>
      </c>
      <c r="K193">
        <v>-2.74</v>
      </c>
      <c r="L193">
        <v>39</v>
      </c>
      <c r="M193">
        <v>-44.18</v>
      </c>
      <c r="N193">
        <v>263</v>
      </c>
      <c r="O193">
        <v>-5.37</v>
      </c>
      <c r="P193">
        <v>478</v>
      </c>
      <c r="Q193">
        <v>6.16</v>
      </c>
      <c r="R193">
        <v>294</v>
      </c>
      <c r="S193">
        <v>38.450000000000003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8DCA-20F9-2147-90EC-952F008E961E}">
  <sheetPr>
    <tabColor rgb="FFFFFF00"/>
  </sheetPr>
  <dimension ref="A2:O38"/>
  <sheetViews>
    <sheetView showGridLines="0" workbookViewId="0">
      <selection activeCell="O12" sqref="O12"/>
    </sheetView>
  </sheetViews>
  <sheetFormatPr baseColWidth="10" defaultRowHeight="16" x14ac:dyDescent="0.2"/>
  <cols>
    <col min="2" max="2" width="13.33203125" bestFit="1" customWidth="1"/>
    <col min="3" max="3" width="7.6640625" bestFit="1" customWidth="1"/>
    <col min="4" max="4" width="8.6640625" bestFit="1" customWidth="1"/>
    <col min="5" max="6" width="9.6640625" bestFit="1" customWidth="1"/>
    <col min="7" max="7" width="7.33203125" bestFit="1" customWidth="1"/>
    <col min="8" max="8" width="10.5" bestFit="1" customWidth="1"/>
    <col min="10" max="10" width="14.1640625" bestFit="1" customWidth="1"/>
    <col min="11" max="11" width="7.6640625" bestFit="1" customWidth="1"/>
    <col min="12" max="12" width="6.83203125" bestFit="1" customWidth="1"/>
    <col min="13" max="14" width="9.6640625" bestFit="1" customWidth="1"/>
    <col min="15" max="15" width="7.33203125" bestFit="1" customWidth="1"/>
    <col min="16" max="16" width="10.5" bestFit="1" customWidth="1"/>
  </cols>
  <sheetData>
    <row r="2" spans="1:15" x14ac:dyDescent="0.2">
      <c r="B2" s="9" t="s">
        <v>41</v>
      </c>
      <c r="C2" s="9"/>
      <c r="D2" s="9"/>
    </row>
    <row r="3" spans="1:15" x14ac:dyDescent="0.2">
      <c r="B3" t="s">
        <v>42</v>
      </c>
    </row>
    <row r="4" spans="1:15" x14ac:dyDescent="0.2">
      <c r="J4" s="19"/>
    </row>
    <row r="5" spans="1:15" x14ac:dyDescent="0.2">
      <c r="A5" s="24"/>
      <c r="B5" s="17"/>
      <c r="C5" s="25"/>
      <c r="D5" s="11" t="s">
        <v>43</v>
      </c>
      <c r="E5" s="11"/>
      <c r="F5" s="11"/>
      <c r="G5" s="11" t="s">
        <v>44</v>
      </c>
      <c r="H5" s="11"/>
      <c r="I5" s="11"/>
      <c r="J5" s="11" t="s">
        <v>45</v>
      </c>
      <c r="K5" s="11"/>
      <c r="L5" s="11"/>
      <c r="M5" s="11" t="s">
        <v>48</v>
      </c>
      <c r="N5" s="11"/>
      <c r="O5" s="18"/>
    </row>
    <row r="6" spans="1:15" ht="17" x14ac:dyDescent="0.25">
      <c r="A6" s="12"/>
      <c r="B6" s="21"/>
      <c r="C6" s="21"/>
      <c r="D6" s="13">
        <f>AVERAGE(tbl_housing[Median_Sale_Price])</f>
        <v>441660.22631578945</v>
      </c>
      <c r="E6" s="26"/>
      <c r="F6" s="26"/>
      <c r="G6" s="27">
        <f>AVERAGE(tbl_housing[Median_Days_On_Market])</f>
        <v>33.06315789473684</v>
      </c>
      <c r="H6" s="26"/>
      <c r="I6" s="26"/>
      <c r="J6" s="22">
        <f>SUM(tbl_housing[Homes_Sold])</f>
        <v>13323</v>
      </c>
      <c r="K6" s="26"/>
      <c r="L6" s="26"/>
      <c r="M6" s="28">
        <v>157</v>
      </c>
      <c r="N6" s="21"/>
      <c r="O6" s="29"/>
    </row>
    <row r="7" spans="1:15" x14ac:dyDescent="0.2">
      <c r="K7" s="19"/>
    </row>
    <row r="12" spans="1:15" x14ac:dyDescent="0.2">
      <c r="J12" s="14" t="s">
        <v>46</v>
      </c>
      <c r="K12" s="10"/>
      <c r="L12" s="10"/>
      <c r="M12" s="10"/>
      <c r="N12" s="10"/>
      <c r="O12" s="10"/>
    </row>
    <row r="13" spans="1:15" x14ac:dyDescent="0.2">
      <c r="J13" s="10"/>
      <c r="K13" s="10" t="s">
        <v>2</v>
      </c>
      <c r="L13" s="10" t="s">
        <v>4</v>
      </c>
      <c r="M13" s="10" t="s">
        <v>3</v>
      </c>
      <c r="N13" s="10" t="s">
        <v>1</v>
      </c>
      <c r="O13" s="10" t="s">
        <v>0</v>
      </c>
    </row>
    <row r="14" spans="1:15" x14ac:dyDescent="0.2">
      <c r="J14" s="15" t="s">
        <v>26</v>
      </c>
      <c r="K14" s="16">
        <v>19.3</v>
      </c>
      <c r="L14" s="16">
        <v>21.9</v>
      </c>
      <c r="M14" s="16">
        <v>25.2</v>
      </c>
      <c r="N14" s="16">
        <v>33.200000000000003</v>
      </c>
      <c r="O14" s="16">
        <v>30.9</v>
      </c>
    </row>
    <row r="15" spans="1:15" x14ac:dyDescent="0.2">
      <c r="J15" s="15" t="s">
        <v>25</v>
      </c>
      <c r="K15" s="16">
        <v>24.416666666666668</v>
      </c>
      <c r="L15" s="16">
        <v>30.5</v>
      </c>
      <c r="M15" s="16">
        <v>27.083333333333332</v>
      </c>
      <c r="N15" s="16">
        <v>33.083333333333336</v>
      </c>
      <c r="O15" s="16">
        <v>33.916666666666664</v>
      </c>
    </row>
    <row r="16" spans="1:15" x14ac:dyDescent="0.2">
      <c r="J16" s="15" t="s">
        <v>27</v>
      </c>
      <c r="K16" s="16">
        <v>34.25</v>
      </c>
      <c r="L16" s="16">
        <v>38.583333333333336</v>
      </c>
      <c r="M16" s="16">
        <v>24.666666666666668</v>
      </c>
      <c r="N16" s="16">
        <v>39</v>
      </c>
      <c r="O16" s="16">
        <v>48</v>
      </c>
    </row>
    <row r="17" spans="2:15" x14ac:dyDescent="0.2">
      <c r="J17" s="15" t="s">
        <v>28</v>
      </c>
      <c r="K17" s="16">
        <v>27.75</v>
      </c>
      <c r="L17" s="16">
        <v>58</v>
      </c>
      <c r="M17" s="16">
        <v>72.75</v>
      </c>
      <c r="N17" s="16">
        <v>40.75</v>
      </c>
      <c r="O17" s="16">
        <v>44.5</v>
      </c>
    </row>
    <row r="24" spans="2:15" x14ac:dyDescent="0.2">
      <c r="B24" s="14" t="s">
        <v>45</v>
      </c>
      <c r="C24" s="10"/>
      <c r="D24" s="10"/>
      <c r="E24" s="10"/>
      <c r="F24" s="10"/>
      <c r="G24" s="10"/>
      <c r="J24" s="14" t="s">
        <v>47</v>
      </c>
      <c r="K24" s="10"/>
      <c r="L24" s="10"/>
      <c r="M24" s="10"/>
      <c r="N24" s="10"/>
      <c r="O24" s="10"/>
    </row>
    <row r="25" spans="2:15" x14ac:dyDescent="0.2">
      <c r="B25" s="10"/>
      <c r="C25" s="10" t="s">
        <v>2</v>
      </c>
      <c r="D25" s="10" t="s">
        <v>4</v>
      </c>
      <c r="E25" s="10" t="s">
        <v>3</v>
      </c>
      <c r="F25" s="10" t="s">
        <v>1</v>
      </c>
      <c r="G25" s="10" t="s">
        <v>0</v>
      </c>
      <c r="J25" s="10"/>
      <c r="K25" s="10" t="s">
        <v>2</v>
      </c>
      <c r="L25" s="10" t="s">
        <v>4</v>
      </c>
      <c r="M25" s="10" t="s">
        <v>3</v>
      </c>
      <c r="N25" s="10" t="s">
        <v>1</v>
      </c>
      <c r="O25" s="10" t="s">
        <v>0</v>
      </c>
    </row>
    <row r="26" spans="2:15" x14ac:dyDescent="0.2">
      <c r="B26" s="15">
        <v>2023</v>
      </c>
      <c r="C26" s="16">
        <v>572</v>
      </c>
      <c r="D26" s="16">
        <v>141</v>
      </c>
      <c r="E26" s="16">
        <v>112</v>
      </c>
      <c r="F26" s="16">
        <v>1093</v>
      </c>
      <c r="G26" s="16">
        <v>2117</v>
      </c>
      <c r="J26" s="15">
        <v>2023</v>
      </c>
      <c r="K26" s="20">
        <v>-1.6191666666666666</v>
      </c>
      <c r="L26" s="20">
        <v>2.7600000000000002</v>
      </c>
      <c r="M26" s="20">
        <v>9.8575000000000017</v>
      </c>
      <c r="N26" s="20">
        <v>3.5749999999999997</v>
      </c>
      <c r="O26" s="20">
        <v>2.5674999999999999</v>
      </c>
    </row>
    <row r="27" spans="2:15" x14ac:dyDescent="0.2">
      <c r="B27" s="15">
        <v>2024</v>
      </c>
      <c r="C27" s="16">
        <v>679</v>
      </c>
      <c r="D27" s="16">
        <v>113</v>
      </c>
      <c r="E27" s="16">
        <v>131</v>
      </c>
      <c r="F27" s="16">
        <v>1097</v>
      </c>
      <c r="G27" s="16">
        <v>2288</v>
      </c>
      <c r="J27" s="15">
        <v>2024</v>
      </c>
      <c r="K27" s="20">
        <v>5.8874999999999993</v>
      </c>
      <c r="L27" s="20">
        <v>14.853333333333332</v>
      </c>
      <c r="M27" s="20">
        <v>-0.68833333333333224</v>
      </c>
      <c r="N27" s="20">
        <v>0.84833333333333327</v>
      </c>
      <c r="O27" s="20">
        <v>3.3591666666666669</v>
      </c>
    </row>
    <row r="28" spans="2:15" x14ac:dyDescent="0.2">
      <c r="B28" s="15">
        <v>2025</v>
      </c>
      <c r="C28" s="16">
        <v>624</v>
      </c>
      <c r="D28" s="16">
        <v>102</v>
      </c>
      <c r="E28" s="16">
        <v>115</v>
      </c>
      <c r="F28" s="16">
        <v>1010</v>
      </c>
      <c r="G28" s="16">
        <v>2368</v>
      </c>
      <c r="J28" s="15">
        <v>2025</v>
      </c>
      <c r="K28" s="20">
        <v>5.7974999999999994</v>
      </c>
      <c r="L28" s="20">
        <v>-3.2808333333333333</v>
      </c>
      <c r="M28" s="20">
        <v>4.8408333333333333</v>
      </c>
      <c r="N28" s="20">
        <v>0.1433333333333334</v>
      </c>
      <c r="O28" s="20">
        <v>0.92583333333333329</v>
      </c>
    </row>
    <row r="29" spans="2:15" x14ac:dyDescent="0.2">
      <c r="B29" s="15">
        <v>2026</v>
      </c>
      <c r="C29" s="16">
        <v>89</v>
      </c>
      <c r="D29" s="16">
        <v>22</v>
      </c>
      <c r="E29" s="16">
        <v>17</v>
      </c>
      <c r="F29" s="16">
        <v>168</v>
      </c>
      <c r="G29" s="16">
        <v>465</v>
      </c>
      <c r="J29" s="15">
        <v>2026</v>
      </c>
      <c r="K29" s="20">
        <v>1.47</v>
      </c>
      <c r="L29" s="20">
        <v>-9.125</v>
      </c>
      <c r="M29" s="20">
        <v>3.5000000000000142E-2</v>
      </c>
      <c r="N29" s="20">
        <v>-6.6749999999999998</v>
      </c>
      <c r="O29" s="20">
        <v>-2.3650000000000002</v>
      </c>
    </row>
    <row r="33" spans="2:7" x14ac:dyDescent="0.2">
      <c r="B33" s="3" t="s">
        <v>48</v>
      </c>
    </row>
    <row r="34" spans="2:7" x14ac:dyDescent="0.2">
      <c r="C34" t="s">
        <v>2</v>
      </c>
      <c r="D34" t="s">
        <v>4</v>
      </c>
      <c r="E34" t="s">
        <v>3</v>
      </c>
      <c r="F34" t="s">
        <v>1</v>
      </c>
      <c r="G34" t="s">
        <v>0</v>
      </c>
    </row>
    <row r="35" spans="2:7" x14ac:dyDescent="0.2">
      <c r="B35" s="4" t="s">
        <v>26</v>
      </c>
      <c r="C35" s="8">
        <v>80.599999999999994</v>
      </c>
      <c r="D35" s="8">
        <v>24</v>
      </c>
      <c r="E35" s="8">
        <v>18.3</v>
      </c>
      <c r="F35" s="8">
        <v>175.9</v>
      </c>
      <c r="G35" s="8">
        <v>347.9</v>
      </c>
    </row>
    <row r="36" spans="2:7" x14ac:dyDescent="0.2">
      <c r="B36" s="4" t="s">
        <v>25</v>
      </c>
      <c r="C36" s="8">
        <v>99</v>
      </c>
      <c r="D36" s="8">
        <v>16.083333333333332</v>
      </c>
      <c r="E36" s="8">
        <v>17.5</v>
      </c>
      <c r="F36" s="8">
        <v>183</v>
      </c>
      <c r="G36" s="8">
        <v>382.25</v>
      </c>
    </row>
    <row r="37" spans="2:7" x14ac:dyDescent="0.2">
      <c r="B37" s="4" t="s">
        <v>27</v>
      </c>
      <c r="C37" s="8">
        <v>100.83333333333333</v>
      </c>
      <c r="D37" s="8">
        <v>20.416666666666668</v>
      </c>
      <c r="E37" s="8">
        <v>24.916666666666668</v>
      </c>
      <c r="F37" s="8">
        <v>213</v>
      </c>
      <c r="G37" s="8">
        <v>448.58333333333331</v>
      </c>
    </row>
    <row r="38" spans="2:7" x14ac:dyDescent="0.2">
      <c r="B38" s="4" t="s">
        <v>28</v>
      </c>
      <c r="C38" s="8">
        <v>81.75</v>
      </c>
      <c r="D38" s="8">
        <v>12.75</v>
      </c>
      <c r="E38" s="8">
        <v>21</v>
      </c>
      <c r="F38" s="8">
        <v>195</v>
      </c>
      <c r="G38" s="8">
        <v>472.5</v>
      </c>
    </row>
  </sheetData>
  <conditionalFormatting pivot="1" sqref="K14:O14 K15:O15 K16:O16 K17:O1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26:G26 C27:G27 C28:G28 C29:G29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K26:O29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C36 C35 C37 C3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36 C35 C37 C38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D36 D35 D37 D3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36 E35 E37 E38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D36 D35 D37 D3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F36 F35 F37 F3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G36 G35 G37 G3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36 C35 C37 C38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D36 D35 D37 D38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D36 D35 D37 D38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E36 E35 E37 E3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F36 F35 F37 F3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G36 G35 G37 G3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horizontalDpi="0" verticalDpi="0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112C5-E8E0-994D-B38E-05248D6C445D}">
  <sheetPr>
    <tabColor rgb="FFC00000"/>
  </sheetPr>
  <dimension ref="A1:A44"/>
  <sheetViews>
    <sheetView tabSelected="1" workbookViewId="0">
      <selection activeCell="A23" sqref="A23"/>
    </sheetView>
  </sheetViews>
  <sheetFormatPr baseColWidth="10" defaultRowHeight="16" x14ac:dyDescent="0.2"/>
  <sheetData>
    <row r="1" spans="1:1" x14ac:dyDescent="0.2">
      <c r="A1" s="23" t="s">
        <v>49</v>
      </c>
    </row>
    <row r="5" spans="1:1" x14ac:dyDescent="0.2">
      <c r="A5" s="23" t="s">
        <v>50</v>
      </c>
    </row>
    <row r="7" spans="1:1" x14ac:dyDescent="0.2">
      <c r="A7" t="s">
        <v>51</v>
      </c>
    </row>
    <row r="11" spans="1:1" x14ac:dyDescent="0.2">
      <c r="A11" s="23" t="s">
        <v>52</v>
      </c>
    </row>
    <row r="13" spans="1:1" x14ac:dyDescent="0.2">
      <c r="A13" t="s">
        <v>53</v>
      </c>
    </row>
    <row r="17" spans="1:1" x14ac:dyDescent="0.2">
      <c r="A17" s="23" t="s">
        <v>54</v>
      </c>
    </row>
    <row r="19" spans="1:1" x14ac:dyDescent="0.2">
      <c r="A19" s="23" t="s">
        <v>55</v>
      </c>
    </row>
    <row r="20" spans="1:1" x14ac:dyDescent="0.2">
      <c r="A20" s="23" t="s">
        <v>56</v>
      </c>
    </row>
    <row r="21" spans="1:1" x14ac:dyDescent="0.2">
      <c r="A21" s="23" t="s">
        <v>57</v>
      </c>
    </row>
    <row r="22" spans="1:1" x14ac:dyDescent="0.2">
      <c r="A22" s="23" t="s">
        <v>58</v>
      </c>
    </row>
    <row r="23" spans="1:1" x14ac:dyDescent="0.2">
      <c r="A23" s="23" t="s">
        <v>59</v>
      </c>
    </row>
    <row r="27" spans="1:1" x14ac:dyDescent="0.2">
      <c r="A27" s="23" t="s">
        <v>60</v>
      </c>
    </row>
    <row r="29" spans="1:1" x14ac:dyDescent="0.2">
      <c r="A29" t="s">
        <v>61</v>
      </c>
    </row>
    <row r="30" spans="1:1" x14ac:dyDescent="0.2">
      <c r="A30" t="s">
        <v>62</v>
      </c>
    </row>
    <row r="31" spans="1:1" x14ac:dyDescent="0.2">
      <c r="A31" t="s">
        <v>63</v>
      </c>
    </row>
    <row r="32" spans="1:1" x14ac:dyDescent="0.2">
      <c r="A32" t="s">
        <v>64</v>
      </c>
    </row>
    <row r="36" spans="1:1" x14ac:dyDescent="0.2">
      <c r="A36" s="23" t="s">
        <v>65</v>
      </c>
    </row>
    <row r="38" spans="1:1" x14ac:dyDescent="0.2">
      <c r="A38" t="s">
        <v>66</v>
      </c>
    </row>
    <row r="42" spans="1:1" x14ac:dyDescent="0.2">
      <c r="A42" s="23" t="s">
        <v>67</v>
      </c>
    </row>
    <row r="44" spans="1:1" x14ac:dyDescent="0.2">
      <c r="A44" t="s">
        <v>68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9EB341-2377-0C49-A8DB-6AB5561537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Clean_data</vt:lpstr>
      <vt:lpstr>Pivot_Analysis</vt:lpstr>
      <vt:lpstr>Detail1</vt:lpstr>
      <vt:lpstr>Dashboard</vt:lpstr>
      <vt:lpstr>Methodology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Reyes-Ornelas</dc:creator>
  <cp:lastModifiedBy>Jorge Reyes-Ornelas</cp:lastModifiedBy>
  <dcterms:created xsi:type="dcterms:W3CDTF">2026-05-20T01:09:56Z</dcterms:created>
  <dcterms:modified xsi:type="dcterms:W3CDTF">2026-05-20T19:30:31Z</dcterms:modified>
</cp:coreProperties>
</file>